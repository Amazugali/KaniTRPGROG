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16380" windowHeight="8190" tabRatio="397" firstSheet="1" activeTab="4"/>
  </bookViews>
  <sheets>
    <sheet name="リスト" sheetId="1" state="hidden" r:id="rId1"/>
    <sheet name="キャラシート" sheetId="2" r:id="rId2"/>
    <sheet name="応用技" sheetId="3" r:id="rId3"/>
    <sheet name="クリーチャー" sheetId="4" r:id="rId4"/>
    <sheet name="進行表" sheetId="5" r:id="rId5"/>
  </sheets>
  <definedNames>
    <definedName name="攻撃スタイル">リスト!$C$3:$C$5</definedName>
    <definedName name="身体タイプ">リスト!$F$3:$F$5</definedName>
    <definedName name="能力タイプ">リスト!$A$3:$A$8</definedName>
    <definedName name="能力分類">リスト!$A$3:$A$8</definedName>
  </definedNames>
  <calcPr calcId="152511"/>
</workbook>
</file>

<file path=xl/calcChain.xml><?xml version="1.0" encoding="utf-8"?>
<calcChain xmlns="http://schemas.openxmlformats.org/spreadsheetml/2006/main">
  <c r="V7" i="2" l="1"/>
  <c r="Z7" i="2"/>
  <c r="W10" i="2"/>
  <c r="X10" i="2"/>
  <c r="Z10" i="2"/>
  <c r="W11" i="2"/>
  <c r="X11" i="2"/>
  <c r="Z11" i="2"/>
  <c r="W12" i="2"/>
  <c r="X12" i="2"/>
  <c r="Z12" i="2"/>
  <c r="W13" i="2"/>
  <c r="X13" i="2"/>
  <c r="Z13" i="2"/>
  <c r="W14" i="2"/>
  <c r="X14" i="2"/>
  <c r="Z14" i="2"/>
  <c r="W15" i="2"/>
  <c r="X15" i="2"/>
  <c r="Z15" i="2"/>
  <c r="W16" i="2"/>
  <c r="X16" i="2"/>
  <c r="U17" i="2"/>
  <c r="U18" i="2" s="1"/>
  <c r="V17" i="2"/>
  <c r="V18" i="2" s="1"/>
  <c r="Y17" i="2"/>
  <c r="Y18" i="2" s="1"/>
  <c r="AA22" i="2"/>
  <c r="T24" i="2"/>
  <c r="AA24" i="2"/>
  <c r="T25" i="2"/>
  <c r="AA25" i="2"/>
  <c r="T26" i="2"/>
  <c r="AA26" i="2"/>
  <c r="T27" i="2"/>
  <c r="AA27" i="2"/>
  <c r="O28" i="2"/>
  <c r="T28" i="2"/>
  <c r="AA28" i="2"/>
  <c r="O29" i="2"/>
  <c r="T29" i="2"/>
  <c r="AA29" i="2"/>
  <c r="O30" i="2"/>
  <c r="T30" i="2"/>
  <c r="AA30" i="2"/>
  <c r="G31" i="2"/>
  <c r="H31" i="2"/>
  <c r="O31" i="2"/>
  <c r="U31" i="2"/>
  <c r="V31" i="2"/>
  <c r="W31" i="2"/>
  <c r="X31" i="2"/>
  <c r="Y31" i="2"/>
  <c r="Z31" i="2"/>
  <c r="O32" i="2"/>
  <c r="G33" i="2"/>
  <c r="H33" i="2"/>
  <c r="O33" i="2"/>
  <c r="G35" i="2"/>
  <c r="B19" i="4" s="1"/>
  <c r="H35" i="2"/>
  <c r="E25" i="5" s="1"/>
  <c r="AA38" i="2"/>
  <c r="X44" i="2" s="1"/>
  <c r="X45" i="2" s="1"/>
  <c r="AA39" i="2"/>
  <c r="Y44" i="2" s="1"/>
  <c r="Y45" i="2" s="1"/>
  <c r="AA40" i="2"/>
  <c r="Z44" i="2" s="1"/>
  <c r="Z45" i="2" s="1"/>
  <c r="Y50" i="2"/>
  <c r="Y59" i="2"/>
  <c r="I5" i="4"/>
  <c r="C10" i="4"/>
  <c r="C11" i="4"/>
  <c r="C12" i="4"/>
  <c r="C13" i="4"/>
  <c r="C14" i="4"/>
  <c r="C15" i="4"/>
  <c r="C16" i="4"/>
  <c r="D19" i="4"/>
  <c r="F19" i="4"/>
  <c r="G19" i="4"/>
  <c r="A18" i="5"/>
  <c r="E18" i="5"/>
  <c r="C22" i="5"/>
  <c r="D22" i="5" s="1"/>
  <c r="C23" i="5"/>
  <c r="F23" i="5"/>
  <c r="C26" i="5"/>
  <c r="F27" i="5"/>
  <c r="L27" i="5"/>
  <c r="A34" i="5"/>
  <c r="B34" i="5"/>
  <c r="D34" i="5"/>
  <c r="C34" i="5" s="1"/>
  <c r="E34" i="5"/>
  <c r="F34" i="5" s="1"/>
  <c r="C36" i="5"/>
  <c r="D36" i="5"/>
  <c r="C37" i="5"/>
  <c r="F37" i="5"/>
  <c r="C40" i="5"/>
  <c r="F41" i="5"/>
  <c r="L41" i="5"/>
  <c r="B48" i="5"/>
  <c r="A48" i="5" s="1"/>
  <c r="D48" i="5"/>
  <c r="C48" i="5" s="1"/>
  <c r="E48" i="5"/>
  <c r="F48" i="5"/>
  <c r="E49" i="5" s="1"/>
  <c r="C50" i="5"/>
  <c r="D50" i="5"/>
  <c r="E50" i="5"/>
  <c r="C51" i="5"/>
  <c r="F51" i="5"/>
  <c r="C54" i="5"/>
  <c r="F55" i="5"/>
  <c r="L55" i="5"/>
  <c r="B62" i="5"/>
  <c r="A62" i="5" s="1"/>
  <c r="C62" i="5"/>
  <c r="D62" i="5"/>
  <c r="C64" i="5"/>
  <c r="D64" i="5"/>
  <c r="C65" i="5"/>
  <c r="F65" i="5"/>
  <c r="C68" i="5"/>
  <c r="F69" i="5"/>
  <c r="L69" i="5"/>
  <c r="E62" i="5" s="1"/>
  <c r="F62" i="5" s="1"/>
  <c r="B76" i="5"/>
  <c r="A76" i="5" s="1"/>
  <c r="D76" i="5"/>
  <c r="C76" i="5" s="1"/>
  <c r="C78" i="5"/>
  <c r="D78" i="5" s="1"/>
  <c r="C79" i="5"/>
  <c r="F79" i="5"/>
  <c r="C82" i="5"/>
  <c r="F83" i="5"/>
  <c r="L83" i="5"/>
  <c r="E76" i="5" s="1"/>
  <c r="F76" i="5" s="1"/>
  <c r="AA31" i="2" l="1"/>
  <c r="AA32" i="2" s="1"/>
  <c r="AA16" i="2"/>
  <c r="H23" i="2" s="1"/>
  <c r="AA14" i="2"/>
  <c r="H21" i="2" s="1"/>
  <c r="AA10" i="2"/>
  <c r="V63" i="2" s="1"/>
  <c r="C19" i="4"/>
  <c r="E24" i="5"/>
  <c r="E23" i="5"/>
  <c r="AA12" i="2"/>
  <c r="AE8" i="2" s="1"/>
  <c r="W17" i="2"/>
  <c r="AA11" i="2"/>
  <c r="Z17" i="2"/>
  <c r="Z18" i="2" s="1"/>
  <c r="X17" i="2"/>
  <c r="X18" i="2" s="1"/>
  <c r="AA13" i="2"/>
  <c r="Q36" i="2" s="1"/>
  <c r="AA15" i="2"/>
  <c r="AI5" i="2" s="1"/>
  <c r="E78" i="5"/>
  <c r="E77" i="5"/>
  <c r="E64" i="5"/>
  <c r="E63" i="5"/>
  <c r="E35" i="5"/>
  <c r="E36" i="5"/>
  <c r="AI9" i="2"/>
  <c r="AF5" i="2"/>
  <c r="AF6" i="2"/>
  <c r="AJ7" i="2"/>
  <c r="AJ8" i="2"/>
  <c r="AJ9" i="2"/>
  <c r="D33" i="2"/>
  <c r="D35" i="2"/>
  <c r="AJ4" i="2"/>
  <c r="AJ5" i="2"/>
  <c r="AJ6" i="2"/>
  <c r="AF7" i="2"/>
  <c r="AF8" i="2"/>
  <c r="AF9" i="2"/>
  <c r="D31" i="2"/>
  <c r="AF4" i="2" l="1"/>
  <c r="U56" i="2"/>
  <c r="H17" i="2"/>
  <c r="X52" i="2" s="1"/>
  <c r="AE4" i="2"/>
  <c r="P15" i="2" s="1"/>
  <c r="B28" i="5" s="1"/>
  <c r="AE5" i="2"/>
  <c r="P16" i="2" s="1"/>
  <c r="B29" i="5" s="1"/>
  <c r="V64" i="2"/>
  <c r="Z64" i="2" s="1"/>
  <c r="Y37" i="2" s="1"/>
  <c r="H22" i="2"/>
  <c r="U54" i="2"/>
  <c r="AA54" i="2" s="1"/>
  <c r="D27" i="2" s="1"/>
  <c r="B21" i="5" s="1"/>
  <c r="U57" i="2"/>
  <c r="U59" i="2"/>
  <c r="AI6" i="2"/>
  <c r="P23" i="2" s="1"/>
  <c r="J28" i="5" s="1"/>
  <c r="H19" i="2"/>
  <c r="X59" i="2" s="1"/>
  <c r="H20" i="2"/>
  <c r="X57" i="2" s="1"/>
  <c r="AE9" i="2"/>
  <c r="P20" i="2" s="1"/>
  <c r="F29" i="5" s="1"/>
  <c r="U52" i="2"/>
  <c r="U49" i="2"/>
  <c r="AA49" i="2" s="1"/>
  <c r="D17" i="2" s="1"/>
  <c r="J24" i="5" s="1"/>
  <c r="B20" i="5" s="1"/>
  <c r="A20" i="5" s="1"/>
  <c r="W63" i="2"/>
  <c r="Z63" i="2" s="1"/>
  <c r="X37" i="2" s="1"/>
  <c r="H18" i="2"/>
  <c r="X50" i="2" s="1"/>
  <c r="AI4" i="2"/>
  <c r="P21" i="2" s="1"/>
  <c r="H28" i="5" s="1"/>
  <c r="U50" i="2"/>
  <c r="Q35" i="2"/>
  <c r="U58" i="2"/>
  <c r="AA58" i="2" s="1"/>
  <c r="V65" i="2" s="1"/>
  <c r="AA17" i="2"/>
  <c r="U53" i="2"/>
  <c r="AA53" i="2" s="1"/>
  <c r="D25" i="2" s="1"/>
  <c r="B27" i="5" s="1"/>
  <c r="U55" i="2"/>
  <c r="AA55" i="2" s="1"/>
  <c r="AE7" i="2" s="1"/>
  <c r="P18" i="2" s="1"/>
  <c r="D29" i="5" s="1"/>
  <c r="P26" i="2"/>
  <c r="L29" i="5" s="1"/>
  <c r="P22" i="2"/>
  <c r="H29" i="5" s="1"/>
  <c r="P19" i="2"/>
  <c r="F28" i="5" s="1"/>
  <c r="AA52" i="2" l="1"/>
  <c r="D23" i="2" s="1"/>
  <c r="B26" i="5" s="1"/>
  <c r="X56" i="2"/>
  <c r="AA56" i="2" s="1"/>
  <c r="C33" i="2" s="1"/>
  <c r="B24" i="5" s="1"/>
  <c r="AA59" i="2"/>
  <c r="H27" i="2" s="1"/>
  <c r="E27" i="5" s="1"/>
  <c r="AA50" i="2"/>
  <c r="U51" i="2" s="1"/>
  <c r="AA51" i="2" s="1"/>
  <c r="D21" i="2" s="1"/>
  <c r="J27" i="5" s="1"/>
  <c r="E20" i="5" s="1"/>
  <c r="F20" i="5" s="1"/>
  <c r="AA57" i="2"/>
  <c r="C35" i="2" s="1"/>
  <c r="B25" i="5" s="1"/>
  <c r="AI7" i="2"/>
  <c r="P24" i="2" s="1"/>
  <c r="J29" i="5" s="1"/>
  <c r="AI8" i="2"/>
  <c r="P25" i="2" s="1"/>
  <c r="L28" i="5" s="1"/>
  <c r="W65" i="2"/>
  <c r="Z65" i="2" s="1"/>
  <c r="Z37" i="2" s="1"/>
  <c r="H25" i="2"/>
  <c r="G4" i="3" s="1"/>
  <c r="C31" i="2"/>
  <c r="B23" i="5" s="1"/>
  <c r="AE6" i="2"/>
  <c r="P17" i="2" s="1"/>
  <c r="D28" i="5" s="1"/>
  <c r="D19" i="2" l="1"/>
  <c r="J26" i="5" s="1"/>
  <c r="D20" i="5" s="1"/>
  <c r="C20" i="5" s="1"/>
  <c r="D4" i="3"/>
  <c r="F23" i="4"/>
  <c r="J4" i="3"/>
  <c r="C23" i="4"/>
  <c r="U4" i="4" s="1"/>
  <c r="E26" i="5"/>
  <c r="E21" i="5"/>
  <c r="E22" i="5"/>
  <c r="R4" i="4" l="1"/>
  <c r="G10" i="4"/>
  <c r="H5" i="4"/>
  <c r="X4" i="4"/>
</calcChain>
</file>

<file path=xl/sharedStrings.xml><?xml version="1.0" encoding="utf-8"?>
<sst xmlns="http://schemas.openxmlformats.org/spreadsheetml/2006/main" count="1788" uniqueCount="973">
  <si>
    <t>能力タイプ</t>
  </si>
  <si>
    <t>活性タイプ</t>
  </si>
  <si>
    <t>身体タイプ</t>
  </si>
  <si>
    <t>在住エリア</t>
  </si>
  <si>
    <t>ＳＰＥ</t>
  </si>
  <si>
    <t>所属</t>
  </si>
  <si>
    <t>判定ダイス</t>
  </si>
  <si>
    <t>幸運ボーナス</t>
  </si>
  <si>
    <t>容姿</t>
  </si>
  <si>
    <t>発動系統</t>
  </si>
  <si>
    <t>付加効果</t>
  </si>
  <si>
    <t>ＳＥ</t>
  </si>
  <si>
    <t>特殊武装</t>
  </si>
  <si>
    <t>ライフ＆ライフ</t>
  </si>
  <si>
    <t>スタンス＆トゥルー</t>
  </si>
  <si>
    <t>カルマ</t>
  </si>
  <si>
    <t>崩壊症状</t>
  </si>
  <si>
    <t>消費アイテム</t>
  </si>
  <si>
    <t>フレーバー</t>
  </si>
  <si>
    <t>－</t>
  </si>
  <si>
    <t>１Ｄ６</t>
  </si>
  <si>
    <t>ノーマル</t>
  </si>
  <si>
    <t>覚醒型</t>
  </si>
  <si>
    <t>増強型</t>
  </si>
  <si>
    <t>ナチュラル</t>
  </si>
  <si>
    <t>上層【アースガルズ】</t>
  </si>
  <si>
    <t>奇跡</t>
  </si>
  <si>
    <t>司法機関グングニル</t>
  </si>
  <si>
    <t>２Ｄ６</t>
  </si>
  <si>
    <t>Ｓ</t>
  </si>
  <si>
    <t>攻撃発動</t>
  </si>
  <si>
    <t>強化【行】</t>
  </si>
  <si>
    <t>トラップ</t>
  </si>
  <si>
    <t>攻撃型</t>
  </si>
  <si>
    <t>力技</t>
  </si>
  <si>
    <t>アタッチメント【スペック－０】</t>
  </si>
  <si>
    <t>異形</t>
  </si>
  <si>
    <t>正義</t>
  </si>
  <si>
    <t>昇華者【リバーサー】</t>
  </si>
  <si>
    <t>聴覚崩壊</t>
  </si>
  <si>
    <t>昇華者
【リバーサー】</t>
  </si>
  <si>
    <t>マグタフ　【因子１】</t>
  </si>
  <si>
    <t>行為発動</t>
  </si>
  <si>
    <t>サイキッカー</t>
  </si>
  <si>
    <t>反応型</t>
  </si>
  <si>
    <t>コーディネーター</t>
  </si>
  <si>
    <t>中層【ミズガルズ】</t>
  </si>
  <si>
    <t>悪運</t>
  </si>
  <si>
    <t>民主機構オルレアン</t>
  </si>
  <si>
    <t>３Ｄ６</t>
  </si>
  <si>
    <t>Ａ</t>
  </si>
  <si>
    <t>精神発動</t>
  </si>
  <si>
    <t>強化【攻】</t>
  </si>
  <si>
    <t>チャージ</t>
  </si>
  <si>
    <t>速度型</t>
  </si>
  <si>
    <t>ロケットランチャー【スペック－４】</t>
  </si>
  <si>
    <t>暴走</t>
  </si>
  <si>
    <t>中庸</t>
  </si>
  <si>
    <t>駆け出し【ルーキー】</t>
  </si>
  <si>
    <t>視覚崩壊</t>
  </si>
  <si>
    <t>駆け出し
【ルーキー】</t>
  </si>
  <si>
    <t>マグタフＥＸ　【因子１】</t>
  </si>
  <si>
    <t>チェイン発動</t>
  </si>
  <si>
    <t>エスパー</t>
  </si>
  <si>
    <t>感覚型</t>
  </si>
  <si>
    <t>サイボーグ</t>
  </si>
  <si>
    <t>下層【ヘルヘイム】</t>
  </si>
  <si>
    <t>闘志</t>
  </si>
  <si>
    <t>抑制機構テセウス</t>
  </si>
  <si>
    <t>Ｂ</t>
  </si>
  <si>
    <t>防御発動</t>
  </si>
  <si>
    <t>強化【防】</t>
  </si>
  <si>
    <t>ドレイン</t>
  </si>
  <si>
    <t>探索型</t>
  </si>
  <si>
    <t>パイルバンカー【スペック－３】</t>
  </si>
  <si>
    <t>崩壊</t>
  </si>
  <si>
    <t>悪徳</t>
  </si>
  <si>
    <t>新鋭【ニューフェイス】</t>
  </si>
  <si>
    <t>言語崩壊</t>
  </si>
  <si>
    <t>新鋭
【ニューフェイス】</t>
  </si>
  <si>
    <t>マグタフＺ　【因子２】</t>
  </si>
  <si>
    <t>【ＳＰＥ】
奇跡</t>
  </si>
  <si>
    <t>トランサー</t>
  </si>
  <si>
    <t>回復型</t>
  </si>
  <si>
    <t>ハイブリッド</t>
  </si>
  <si>
    <t>不明</t>
  </si>
  <si>
    <t>リベンジ</t>
  </si>
  <si>
    <t>ルーン企業連</t>
  </si>
  <si>
    <t>Ｃ</t>
  </si>
  <si>
    <t>付加発動</t>
  </si>
  <si>
    <t>強化【抵】</t>
  </si>
  <si>
    <t>ブレイク</t>
  </si>
  <si>
    <t>威圧</t>
  </si>
  <si>
    <t>荷電粒子砲【スペック－３】</t>
  </si>
  <si>
    <t>恩恵</t>
  </si>
  <si>
    <t>優柔不断</t>
  </si>
  <si>
    <t>初心【ビギナーズラック】</t>
  </si>
  <si>
    <t>身体崩壊</t>
  </si>
  <si>
    <t>初心
【ビギナーズラック】</t>
  </si>
  <si>
    <t>トランス　【因子１】</t>
  </si>
  <si>
    <t>【ＳＰＥ】
悪運</t>
  </si>
  <si>
    <t>クリエイター</t>
  </si>
  <si>
    <t>アンドロイド</t>
  </si>
  <si>
    <t>リテイク</t>
  </si>
  <si>
    <t>チーム世紀末覇者</t>
  </si>
  <si>
    <t>Ｄ</t>
  </si>
  <si>
    <t>強化【命】</t>
  </si>
  <si>
    <t>ペネトレイション</t>
  </si>
  <si>
    <t>手榴弾【スペック－３】</t>
  </si>
  <si>
    <t>実験</t>
  </si>
  <si>
    <t>唯我独尊</t>
  </si>
  <si>
    <t>失敗談【ミステイク】</t>
  </si>
  <si>
    <t>精神崩壊</t>
  </si>
  <si>
    <t>失敗談
【ミステイク】</t>
  </si>
  <si>
    <t>ライズ　【因子２】</t>
  </si>
  <si>
    <t>【ＳＰＥ】
闘志</t>
  </si>
  <si>
    <t>アンノウン</t>
  </si>
  <si>
    <t>ロボット</t>
  </si>
  <si>
    <t>逆転</t>
  </si>
  <si>
    <t>スヴァルトアルフ</t>
  </si>
  <si>
    <t>Ｅ</t>
  </si>
  <si>
    <t>ＡＥ【重撃】</t>
  </si>
  <si>
    <t>強化【回】</t>
  </si>
  <si>
    <t>オールレンジ</t>
  </si>
  <si>
    <t>トラップボム【スペック－３】</t>
  </si>
  <si>
    <t>才能</t>
  </si>
  <si>
    <t>天真爛漫</t>
  </si>
  <si>
    <t>伏兵【ダークホース】</t>
  </si>
  <si>
    <t>記憶崩壊</t>
  </si>
  <si>
    <t>伏兵
【ダークホース】</t>
  </si>
  <si>
    <t>ネクスト　【因子３】</t>
  </si>
  <si>
    <t>【ＳＰＥ】
リベンジ</t>
  </si>
  <si>
    <t>絆</t>
  </si>
  <si>
    <t>フリーランス</t>
  </si>
  <si>
    <t>強化【技】</t>
  </si>
  <si>
    <t>コンティニュー</t>
  </si>
  <si>
    <t>観察眼</t>
  </si>
  <si>
    <t>レールガン【スペック－３】</t>
  </si>
  <si>
    <t>喪失</t>
  </si>
  <si>
    <t>家族</t>
  </si>
  <si>
    <t>調律者【バランサー】</t>
  </si>
  <si>
    <t>調律者
【バランサー】</t>
  </si>
  <si>
    <t>ユートピア　【因子１】</t>
  </si>
  <si>
    <t>【ＳＰＥ】
リテイク</t>
  </si>
  <si>
    <t>激励</t>
  </si>
  <si>
    <t>特殊技</t>
  </si>
  <si>
    <t>強化【解】</t>
  </si>
  <si>
    <t>テリトリー</t>
  </si>
  <si>
    <t>ドリル【スペック－３】</t>
  </si>
  <si>
    <t>復讐</t>
  </si>
  <si>
    <t>友情</t>
  </si>
  <si>
    <t>崩壊者【ディケイド】</t>
  </si>
  <si>
    <t>崩壊者
【ディケイド】</t>
  </si>
  <si>
    <t>パンドラ　【因子１】</t>
  </si>
  <si>
    <t>【ＳＰＥ】
逆転</t>
  </si>
  <si>
    <t>活性</t>
  </si>
  <si>
    <t>不屈</t>
  </si>
  <si>
    <t>減衰【行】</t>
  </si>
  <si>
    <t>リスク</t>
  </si>
  <si>
    <t>ブラスター【スペック－２】</t>
  </si>
  <si>
    <t>逃亡</t>
  </si>
  <si>
    <t>愛</t>
  </si>
  <si>
    <t>喪失者【ミッシング】</t>
  </si>
  <si>
    <t>喪失者
【ミッシング】</t>
  </si>
  <si>
    <t>マグタフ黒　【因子４】</t>
  </si>
  <si>
    <t>【ＳＰＥ】
絆</t>
  </si>
  <si>
    <t>暴走症状</t>
  </si>
  <si>
    <t>次回追加</t>
  </si>
  <si>
    <t>瞑想</t>
  </si>
  <si>
    <t>減衰【攻】</t>
  </si>
  <si>
    <t>オート</t>
  </si>
  <si>
    <t>察知</t>
  </si>
  <si>
    <t>高周波ブレード【スペック－２】</t>
  </si>
  <si>
    <t>傷病</t>
  </si>
  <si>
    <t>仁義</t>
  </si>
  <si>
    <t>突然変異【アナザー】</t>
  </si>
  <si>
    <t>突然変異
【アナザー】</t>
  </si>
  <si>
    <t>使い捨てランチャー　【因子１０】</t>
  </si>
  <si>
    <t>【ＳＰＥ】
激励</t>
  </si>
  <si>
    <t>＋１</t>
  </si>
  <si>
    <t>鎮静</t>
  </si>
  <si>
    <t>減衰【防】</t>
  </si>
  <si>
    <t>セミオート</t>
  </si>
  <si>
    <t>火炎放射器【スペック－２】</t>
  </si>
  <si>
    <t>贖罪</t>
  </si>
  <si>
    <t>礼節</t>
  </si>
  <si>
    <t>覚醒者【アクトレイザー】</t>
  </si>
  <si>
    <t>覚醒者
【アクトレイザー】</t>
  </si>
  <si>
    <t>違法グレネード　【因子４】</t>
  </si>
  <si>
    <t>【ＳＰＥ】
不屈</t>
  </si>
  <si>
    <t>制御異常</t>
  </si>
  <si>
    <t>生還者（補正なし）</t>
  </si>
  <si>
    <t>＋２</t>
  </si>
  <si>
    <t>精神凌駕</t>
  </si>
  <si>
    <t>減衰【抵】</t>
  </si>
  <si>
    <t>リフレクション</t>
  </si>
  <si>
    <t>電子ドラッグ【スペック－２】</t>
  </si>
  <si>
    <t>裏切り</t>
  </si>
  <si>
    <t>誇り</t>
  </si>
  <si>
    <t>探索者【シャープネス】</t>
  </si>
  <si>
    <t>探索者
【シャープネス】</t>
  </si>
  <si>
    <t>ＥＣＭ【Ｐ】　【因子４】</t>
  </si>
  <si>
    <t>【ＳＰＥ】
瞑想</t>
  </si>
  <si>
    <t>過負荷</t>
  </si>
  <si>
    <t>初期暴走率＋５％</t>
  </si>
  <si>
    <t>＋３</t>
  </si>
  <si>
    <t>ＡＥ</t>
  </si>
  <si>
    <t>減衰【命】</t>
  </si>
  <si>
    <t>パーフェクト</t>
  </si>
  <si>
    <t>知識</t>
  </si>
  <si>
    <t>スタンガン【スペック－１】</t>
  </si>
  <si>
    <t>名声</t>
  </si>
  <si>
    <t>男性的</t>
  </si>
  <si>
    <t>修羅【アタッカー】</t>
  </si>
  <si>
    <t>修羅
【アタッカー】</t>
  </si>
  <si>
    <t>ＥＣＭ【Ｅ】　【因子４】</t>
  </si>
  <si>
    <t>【ＳＰＥ】
鎮静</t>
  </si>
  <si>
    <t>聴覚異常</t>
  </si>
  <si>
    <t>初期暴走率＋１０％</t>
  </si>
  <si>
    <t>瞬動</t>
  </si>
  <si>
    <t>ＮＰＣ Lv.1　上限10pt</t>
  </si>
  <si>
    <t>減衰【回】</t>
  </si>
  <si>
    <t>ワイヤートラップ【スペック－１】</t>
  </si>
  <si>
    <t>悪名</t>
  </si>
  <si>
    <t>中性的</t>
  </si>
  <si>
    <t>寵愛【アイドル】</t>
  </si>
  <si>
    <t>寵愛
【アイドル】</t>
  </si>
  <si>
    <t>ＥＣＭ【Ｔ】　【因子４】</t>
  </si>
  <si>
    <t>【ＳＰＥ】
精神凌駕</t>
  </si>
  <si>
    <t>視覚異常</t>
  </si>
  <si>
    <t>初期暴走率＋１５％</t>
  </si>
  <si>
    <t>限界突破</t>
  </si>
  <si>
    <t>ＮＰＣ Lv.2　上限15pt</t>
  </si>
  <si>
    <t>コンセ</t>
  </si>
  <si>
    <t>減衰【技】</t>
  </si>
  <si>
    <t>フラッシュガン【スペック－２】</t>
  </si>
  <si>
    <t>孤独</t>
  </si>
  <si>
    <t>女性的</t>
  </si>
  <si>
    <t>英雄【ブレイブ】</t>
  </si>
  <si>
    <t>英雄
【ブレイブ】</t>
  </si>
  <si>
    <t>ＥＣＭ【Ｃ】　【因子４】</t>
  </si>
  <si>
    <t>【ＳＰＥ】
愛</t>
  </si>
  <si>
    <t>身体異常</t>
  </si>
  <si>
    <t>初期暴走率＋２０％</t>
  </si>
  <si>
    <t>防衛本能</t>
  </si>
  <si>
    <t>ＮＰＣ Lv.3　上限20pt</t>
  </si>
  <si>
    <t>ブースト</t>
  </si>
  <si>
    <t>減衰【解】</t>
  </si>
  <si>
    <t>技術</t>
  </si>
  <si>
    <t>増強アンプル【スペック－1】</t>
  </si>
  <si>
    <t>義理の家族</t>
  </si>
  <si>
    <t>一途</t>
  </si>
  <si>
    <t>凡骨【ナチュラルボーン】</t>
  </si>
  <si>
    <t>凡骨
【ナチュラルボーン】</t>
  </si>
  <si>
    <t>パイル予備弾　【因子２】</t>
  </si>
  <si>
    <t>【ＳＰＥ】
瞬動</t>
  </si>
  <si>
    <t>能力異常</t>
  </si>
  <si>
    <t>暴走崩壊者</t>
  </si>
  <si>
    <t>共鳴</t>
  </si>
  <si>
    <t>ＮＰＣ Lv.4　上限25pt</t>
  </si>
  <si>
    <t>エール</t>
  </si>
  <si>
    <t>回復</t>
  </si>
  <si>
    <t>強化シナプス【スペック－1】</t>
  </si>
  <si>
    <t>機械化</t>
  </si>
  <si>
    <t>好色</t>
  </si>
  <si>
    <t>殺し屋【ザ・キラー】</t>
  </si>
  <si>
    <t>殺し屋
【ザ・キラー】</t>
  </si>
  <si>
    <t>荷電粒子予備弾　【因子２】</t>
  </si>
  <si>
    <t>【ＳＰＥ】
限界突破</t>
  </si>
  <si>
    <t>言語異常</t>
  </si>
  <si>
    <t>パージ</t>
  </si>
  <si>
    <t>ＮＰＣ Lv.5　上限30pt</t>
  </si>
  <si>
    <t>死力</t>
  </si>
  <si>
    <t>拡張</t>
  </si>
  <si>
    <t>スモーク【スペック－1】</t>
  </si>
  <si>
    <t>被害者</t>
  </si>
  <si>
    <t>同性愛</t>
  </si>
  <si>
    <t>武器屋【マスター】</t>
  </si>
  <si>
    <t>武器屋
【マスター】</t>
  </si>
  <si>
    <t>スタン予備弾　【因子２】</t>
  </si>
  <si>
    <t>【ＳＰＥ】
防衛本能</t>
  </si>
  <si>
    <t>記憶異常</t>
  </si>
  <si>
    <t>持ち越し抑制ダイス</t>
  </si>
  <si>
    <t>奥義</t>
  </si>
  <si>
    <t>ＮＰＣ Lv.MAX　ALL12</t>
  </si>
  <si>
    <t>怪力乱神</t>
  </si>
  <si>
    <t>制限</t>
  </si>
  <si>
    <t>隠密</t>
  </si>
  <si>
    <t>サイキックジャミング【スペック－1】</t>
  </si>
  <si>
    <t>成功</t>
  </si>
  <si>
    <t>倹約</t>
  </si>
  <si>
    <t>守護者【イージス】</t>
  </si>
  <si>
    <t>守護者
【イージス】</t>
  </si>
  <si>
    <t>フラッシュ予備弾　【因子２】</t>
  </si>
  <si>
    <t>【ＳＰＥ】
共鳴</t>
  </si>
  <si>
    <t>精神異常</t>
  </si>
  <si>
    <t>大器</t>
  </si>
  <si>
    <t>臥薪嘗胆</t>
  </si>
  <si>
    <t>幸運</t>
  </si>
  <si>
    <t>神経ジャマー【スペック－1】</t>
  </si>
  <si>
    <t>没落</t>
  </si>
  <si>
    <t>几帳面</t>
  </si>
  <si>
    <t>反撃者【リベリオン】</t>
  </si>
  <si>
    <t>反撃者
【リベリオン】</t>
  </si>
  <si>
    <t>バーサーカー　【因子１】</t>
  </si>
  <si>
    <t>【ＳＰＥ】
パージ</t>
  </si>
  <si>
    <t>忘我</t>
  </si>
  <si>
    <t>熟練</t>
  </si>
  <si>
    <t>才気煥発</t>
  </si>
  <si>
    <t>追加【命】</t>
  </si>
  <si>
    <t>トランスキャンセラー【スペック－1】</t>
  </si>
  <si>
    <t>権力</t>
  </si>
  <si>
    <t>独立</t>
  </si>
  <si>
    <t>影の者【アサシン】</t>
  </si>
  <si>
    <t>影の者
【アサシン】</t>
  </si>
  <si>
    <t>ハイウェイ 　【因子１】</t>
  </si>
  <si>
    <t>【ＳＰＥ】
奥義</t>
  </si>
  <si>
    <t>エキスパート</t>
  </si>
  <si>
    <t>明鏡止水</t>
  </si>
  <si>
    <t>追加【回】</t>
  </si>
  <si>
    <t>俊敏</t>
  </si>
  <si>
    <t>クリエイトノイザー【スペック－1】</t>
  </si>
  <si>
    <t>勤労</t>
  </si>
  <si>
    <t>物欲</t>
  </si>
  <si>
    <t>癒し手【ヒーラー】</t>
  </si>
  <si>
    <t>癒し手
【ヒーラー】</t>
  </si>
  <si>
    <t>煙幕 　【因子１】</t>
  </si>
  <si>
    <t>【ＳＰＥ】
大器</t>
  </si>
  <si>
    <t>技系統</t>
  </si>
  <si>
    <t>画竜点睛</t>
  </si>
  <si>
    <t>追加【技】</t>
  </si>
  <si>
    <t>アーマー【スペック－1】</t>
  </si>
  <si>
    <t>無名</t>
  </si>
  <si>
    <t>リーダーシップ</t>
  </si>
  <si>
    <t>使役者【ブリーダー】</t>
  </si>
  <si>
    <t>使役者
【ブリーダー】</t>
  </si>
  <si>
    <t>【ＳＰＥ】
熟練</t>
  </si>
  <si>
    <t>電光石火</t>
  </si>
  <si>
    <t>追加【解】</t>
  </si>
  <si>
    <t>ブラックボックス【スペック－1】</t>
  </si>
  <si>
    <t>裏社会</t>
  </si>
  <si>
    <t>慎重</t>
  </si>
  <si>
    <t>不幸【アンラッキー】</t>
  </si>
  <si>
    <t>不幸
【アンラッキー】</t>
  </si>
  <si>
    <t>【ＳＰＥ】
エキスパート</t>
  </si>
  <si>
    <t>攻撃</t>
  </si>
  <si>
    <t>運否天賦</t>
  </si>
  <si>
    <t>混乱</t>
  </si>
  <si>
    <t>話術</t>
  </si>
  <si>
    <t>パワードスーツ【スペック－1】</t>
  </si>
  <si>
    <t>平凡</t>
  </si>
  <si>
    <t>豪胆</t>
  </si>
  <si>
    <t>抗体【アンチボディ】</t>
  </si>
  <si>
    <t>抗体
【アンチボディ】</t>
  </si>
  <si>
    <t>【カルマ】
昇華者</t>
  </si>
  <si>
    <t>待機</t>
  </si>
  <si>
    <t>複製</t>
  </si>
  <si>
    <t>スキャンスコープ【スペック－1】</t>
  </si>
  <si>
    <t>商人</t>
  </si>
  <si>
    <t>ポジティブ</t>
  </si>
  <si>
    <t>愚者【トラブルメイカー】</t>
  </si>
  <si>
    <t>愚者
【トラブルメイカー】</t>
  </si>
  <si>
    <t>【カルマ】
駆け出し</t>
  </si>
  <si>
    <t>防御</t>
  </si>
  <si>
    <t>移動</t>
  </si>
  <si>
    <t>制止</t>
  </si>
  <si>
    <t>高感度センサー【スペック－1】</t>
  </si>
  <si>
    <t>犯罪</t>
  </si>
  <si>
    <t>自由</t>
  </si>
  <si>
    <t>不死身【アンデット】</t>
  </si>
  <si>
    <t>不死身
【アンデット】</t>
  </si>
  <si>
    <t>【カルマ】
新鋭</t>
  </si>
  <si>
    <t>補正</t>
  </si>
  <si>
    <t>移動攻撃</t>
  </si>
  <si>
    <t>継続</t>
  </si>
  <si>
    <t>読心</t>
  </si>
  <si>
    <t>高演算電脳【スペック－1】</t>
  </si>
  <si>
    <t>技術者</t>
  </si>
  <si>
    <t>お人好し</t>
  </si>
  <si>
    <t>奉仕者【トレーダー】</t>
  </si>
  <si>
    <t>奉仕者
【トレーダー】</t>
  </si>
  <si>
    <t>【カルマ】
初心</t>
  </si>
  <si>
    <t>状態異常</t>
  </si>
  <si>
    <t>離脱</t>
  </si>
  <si>
    <t>操作</t>
  </si>
  <si>
    <r>
      <t>高性能マニピュレーター【スペック－</t>
    </r>
    <r>
      <rPr>
        <sz val="10"/>
        <rFont val="Arial"/>
        <family val="2"/>
        <charset val="128"/>
      </rPr>
      <t>1</t>
    </r>
    <r>
      <rPr>
        <sz val="10"/>
        <rFont val="ＭＳ Ｐゴシック"/>
        <family val="2"/>
        <charset val="128"/>
      </rPr>
      <t>】</t>
    </r>
  </si>
  <si>
    <t>宗教</t>
  </si>
  <si>
    <t>目立ちたがり</t>
  </si>
  <si>
    <t>闇商人【ディーラー】</t>
  </si>
  <si>
    <t>闇商人
【ディーラー】</t>
  </si>
  <si>
    <t>【カルマ】
失敗談</t>
  </si>
  <si>
    <t>創造</t>
  </si>
  <si>
    <t>参戦</t>
  </si>
  <si>
    <r>
      <t>光学迷彩【スペック－</t>
    </r>
    <r>
      <rPr>
        <sz val="10"/>
        <rFont val="Arial"/>
        <family val="2"/>
        <charset val="128"/>
      </rPr>
      <t>1</t>
    </r>
    <r>
      <rPr>
        <sz val="10"/>
        <rFont val="ＭＳ Ｐゴシック"/>
        <family val="2"/>
        <charset val="128"/>
      </rPr>
      <t>】</t>
    </r>
  </si>
  <si>
    <t>芸術</t>
  </si>
  <si>
    <t>友好</t>
  </si>
  <si>
    <t>破壊者【デストロイヤー】</t>
  </si>
  <si>
    <t>破壊者
【デストロイヤー】</t>
  </si>
  <si>
    <t>【カルマ】
伏兵</t>
  </si>
  <si>
    <t>その他</t>
  </si>
  <si>
    <t>参戦攻撃</t>
  </si>
  <si>
    <t>性質【威力】</t>
  </si>
  <si>
    <t>閃き</t>
  </si>
  <si>
    <r>
      <t>高出力ブースター【スペック－</t>
    </r>
    <r>
      <rPr>
        <sz val="10"/>
        <rFont val="Arial"/>
        <family val="2"/>
        <charset val="128"/>
      </rPr>
      <t>1</t>
    </r>
    <r>
      <rPr>
        <sz val="10"/>
        <rFont val="ＭＳ Ｐゴシック"/>
        <family val="2"/>
        <charset val="128"/>
      </rPr>
      <t>】</t>
    </r>
  </si>
  <si>
    <t>忠誠</t>
  </si>
  <si>
    <t>臆病</t>
  </si>
  <si>
    <t>職人【プロフェッショナル】</t>
  </si>
  <si>
    <t>職人
【プロフェッショナル】</t>
  </si>
  <si>
    <t>【カルマ】
調律者</t>
  </si>
  <si>
    <t>回避放棄</t>
  </si>
  <si>
    <t>性質【反応】</t>
  </si>
  <si>
    <t>心拍スカウター【スペック－1】</t>
  </si>
  <si>
    <t>野心</t>
  </si>
  <si>
    <t>ネガティブ</t>
  </si>
  <si>
    <t>鷹の目【ホークアイ】</t>
  </si>
  <si>
    <t>鷹の目
【ホークアイ】</t>
  </si>
  <si>
    <t>【カルマ】
崩壊者</t>
  </si>
  <si>
    <t>カバーリング</t>
  </si>
  <si>
    <t>性質【耐性】</t>
  </si>
  <si>
    <t>秘密</t>
  </si>
  <si>
    <t>寂しがり屋</t>
  </si>
  <si>
    <t>幻影【ファントム】</t>
  </si>
  <si>
    <t>幻影
【ファントム】</t>
  </si>
  <si>
    <t>【カルマ】
喪失者</t>
  </si>
  <si>
    <t>カバー態勢</t>
  </si>
  <si>
    <t>性質【感覚】</t>
  </si>
  <si>
    <t>探求</t>
  </si>
  <si>
    <t>嫉妬</t>
  </si>
  <si>
    <t>無血開城【ピースメイカー】</t>
  </si>
  <si>
    <t>無血開城
【ピースメイカー】</t>
  </si>
  <si>
    <t>【カルマ】
突然変異</t>
  </si>
  <si>
    <t>手加減</t>
  </si>
  <si>
    <t>性質【幸運】</t>
  </si>
  <si>
    <t>武道</t>
  </si>
  <si>
    <t>疑心</t>
  </si>
  <si>
    <t>人外【レジェンド】</t>
  </si>
  <si>
    <t>人外
【レジェンド】</t>
  </si>
  <si>
    <t>【カルマ】
覚醒者</t>
  </si>
  <si>
    <t>カウンター</t>
  </si>
  <si>
    <t>限定耐性</t>
  </si>
  <si>
    <t>研究</t>
  </si>
  <si>
    <t>虚偽</t>
  </si>
  <si>
    <t>希少種【レア】</t>
  </si>
  <si>
    <t>希少種
【レア】</t>
  </si>
  <si>
    <t>【カルマ】
探索者</t>
  </si>
  <si>
    <t>不意打ち</t>
  </si>
  <si>
    <t>限定無効</t>
  </si>
  <si>
    <t>温厚</t>
  </si>
  <si>
    <t>勇猛【ベルセルク】</t>
  </si>
  <si>
    <t>勇猛
【ベルセルク】</t>
  </si>
  <si>
    <t>【カルマ】
修羅</t>
  </si>
  <si>
    <t>ノックアウト</t>
  </si>
  <si>
    <t>限定吸収</t>
  </si>
  <si>
    <t>慈愛</t>
  </si>
  <si>
    <t>魔性【フェロモン】</t>
  </si>
  <si>
    <t>魔性
【フェロモン】</t>
  </si>
  <si>
    <t>【カルマ】
寵愛</t>
  </si>
  <si>
    <t>ヘッドショット</t>
  </si>
  <si>
    <t>貫通無効</t>
  </si>
  <si>
    <t>奉仕</t>
  </si>
  <si>
    <t>下心【セクシゃル】</t>
  </si>
  <si>
    <t>下心
【セクシゃル】</t>
  </si>
  <si>
    <t>【カルマ】
英雄</t>
  </si>
  <si>
    <t>ホールド</t>
  </si>
  <si>
    <t>領域無効</t>
  </si>
  <si>
    <t>平和主義</t>
  </si>
  <si>
    <t>献身【サクリファイス】</t>
  </si>
  <si>
    <t>献身
【サクリファイス】</t>
  </si>
  <si>
    <t>【カルマ】
凡骨</t>
  </si>
  <si>
    <t>締め付け</t>
  </si>
  <si>
    <t>影響無効</t>
  </si>
  <si>
    <t>マイペース</t>
  </si>
  <si>
    <t>孤高【ロンリーウルフ】</t>
  </si>
  <si>
    <t>孤高
【ロンリーウルフ】</t>
  </si>
  <si>
    <t>【カルマ】
殺し屋</t>
  </si>
  <si>
    <t>転換</t>
  </si>
  <si>
    <t>精神無効</t>
  </si>
  <si>
    <t>八方美人</t>
  </si>
  <si>
    <t>恋愛【ラバーズ】</t>
  </si>
  <si>
    <t>恋愛
【ラバーズ】</t>
  </si>
  <si>
    <t>【カルマ】
武器屋</t>
  </si>
  <si>
    <t>解放</t>
  </si>
  <si>
    <t>物理無効</t>
  </si>
  <si>
    <t>厳格</t>
  </si>
  <si>
    <t>交渉人【ネゴシエイター】</t>
  </si>
  <si>
    <t>交渉人
【ネゴシエイター】</t>
  </si>
  <si>
    <t>【カルマ】
守護者</t>
  </si>
  <si>
    <t>守護</t>
  </si>
  <si>
    <t>系統無効</t>
  </si>
  <si>
    <t>頑固</t>
  </si>
  <si>
    <t>二枚舌【ライアー】</t>
  </si>
  <si>
    <t>二枚舌
【ライアー】</t>
  </si>
  <si>
    <t>【カルマ】
反撃者</t>
  </si>
  <si>
    <t>供給</t>
  </si>
  <si>
    <t>激情</t>
  </si>
  <si>
    <t>魔術師【プロフェッサー】</t>
  </si>
  <si>
    <t>魔術師
【プロフェッサー】</t>
  </si>
  <si>
    <t>【カルマ】
影の者</t>
  </si>
  <si>
    <t>好戦的</t>
  </si>
  <si>
    <t>道化師【トリックスター】</t>
  </si>
  <si>
    <t>道化師
【トリックスター】</t>
  </si>
  <si>
    <t>【カルマ】
癒し手</t>
  </si>
  <si>
    <t>反発</t>
  </si>
  <si>
    <t>狂人【マッドネス】</t>
  </si>
  <si>
    <t>狂人
【マッドネス】</t>
  </si>
  <si>
    <t>【カルマ】
使役者</t>
  </si>
  <si>
    <t>騒然</t>
  </si>
  <si>
    <t>風雲児【ヒーロー】</t>
  </si>
  <si>
    <t>風雲児
【ヒーロー】</t>
  </si>
  <si>
    <t>【カルマ】
不幸</t>
  </si>
  <si>
    <t>単純</t>
  </si>
  <si>
    <t>無頼漢【フーリガン】</t>
  </si>
  <si>
    <t>無頼漢
【フーリガン】</t>
  </si>
  <si>
    <t>【カルマ】
抗体</t>
  </si>
  <si>
    <t>自信家</t>
  </si>
  <si>
    <t>小心翼翼【チキンハート】</t>
  </si>
  <si>
    <t>小心翼翼
【チキンハート】</t>
  </si>
  <si>
    <t>【カルマ】
愚者</t>
  </si>
  <si>
    <t>無鉄砲</t>
  </si>
  <si>
    <t>芸人【エンターテイナー】</t>
  </si>
  <si>
    <t>芸人
【エンターテイナー】</t>
  </si>
  <si>
    <t>【カルマ】
不死身</t>
  </si>
  <si>
    <t>気分屋</t>
  </si>
  <si>
    <t>泥酔【ドランカー】</t>
  </si>
  <si>
    <t>泥酔
【ドランカー】</t>
  </si>
  <si>
    <t>【カルマ】
奉仕者</t>
  </si>
  <si>
    <t>努力家</t>
  </si>
  <si>
    <t>自己愛【ナルシスト】</t>
  </si>
  <si>
    <t>自己愛
【ナルシスト】</t>
  </si>
  <si>
    <t>【カルマ】
闇商人</t>
  </si>
  <si>
    <t>敏感</t>
  </si>
  <si>
    <t>演技派【プレゼンター】</t>
  </si>
  <si>
    <t>演技派
【プレゼンター】</t>
  </si>
  <si>
    <t>【カルマ】
破壊者</t>
  </si>
  <si>
    <t>寡黙</t>
  </si>
  <si>
    <t>中二病【ファイナルジャッジメント】</t>
  </si>
  <si>
    <t>中二病
【ファイナルジャッジメント】</t>
  </si>
  <si>
    <t>【カルマ】
職人</t>
  </si>
  <si>
    <t>一匹狼</t>
  </si>
  <si>
    <t>ダイスの女神様【フォーチュン】</t>
  </si>
  <si>
    <t>ダイスの女神様
【フォーチュン】</t>
  </si>
  <si>
    <t>【カルマ】
鷹の目</t>
  </si>
  <si>
    <t>冷徹</t>
  </si>
  <si>
    <t>【カルマ】
幻影</t>
  </si>
  <si>
    <t>静観</t>
  </si>
  <si>
    <t>【カルマ】
無血開城</t>
  </si>
  <si>
    <t>怠け者</t>
  </si>
  <si>
    <t>昇華者</t>
  </si>
  <si>
    <t>【カルマ】
人外</t>
  </si>
  <si>
    <t>鈍感</t>
  </si>
  <si>
    <t>駆け出し</t>
  </si>
  <si>
    <t>【カルマ】
希少種</t>
  </si>
  <si>
    <t>常識</t>
  </si>
  <si>
    <t>新鋭</t>
  </si>
  <si>
    <t>【カルマ】
勇猛</t>
  </si>
  <si>
    <t>愚直</t>
  </si>
  <si>
    <t>初心</t>
  </si>
  <si>
    <t>【カルマ】
魔性</t>
  </si>
  <si>
    <t>規律</t>
  </si>
  <si>
    <t>失敗談</t>
  </si>
  <si>
    <t>【カルマ】
下心</t>
  </si>
  <si>
    <t>気品</t>
  </si>
  <si>
    <t>伏兵</t>
  </si>
  <si>
    <t>【カルマ】
献身</t>
  </si>
  <si>
    <t>現実主義</t>
  </si>
  <si>
    <t>調律者</t>
  </si>
  <si>
    <t>【カルマ
】孤高</t>
  </si>
  <si>
    <t>誠実</t>
  </si>
  <si>
    <t>崩壊者</t>
  </si>
  <si>
    <t>【カルマ】
恋愛</t>
  </si>
  <si>
    <t>偏屈</t>
  </si>
  <si>
    <t>喪失者</t>
  </si>
  <si>
    <t>【カルマ】
交渉人</t>
  </si>
  <si>
    <t>依存</t>
  </si>
  <si>
    <t>突然変異</t>
  </si>
  <si>
    <t>【カルマ】
二枚舌</t>
  </si>
  <si>
    <t>ズボラ</t>
  </si>
  <si>
    <t>覚醒者</t>
  </si>
  <si>
    <t>【カルマ】
魔術師</t>
  </si>
  <si>
    <t>下賤</t>
  </si>
  <si>
    <t>探索者</t>
  </si>
  <si>
    <t>【カルマ】
道化師</t>
  </si>
  <si>
    <t>ロマンティスト</t>
  </si>
  <si>
    <t>修羅</t>
  </si>
  <si>
    <t>【カルマ】
狂人</t>
  </si>
  <si>
    <t>浪費</t>
  </si>
  <si>
    <t>寵愛</t>
  </si>
  <si>
    <t>【カルマ】
風雲児</t>
  </si>
  <si>
    <t>英雄</t>
  </si>
  <si>
    <t>【カルマ】
無頼漢</t>
  </si>
  <si>
    <t>凡骨</t>
  </si>
  <si>
    <t>【カルマ】
小心翼翼</t>
  </si>
  <si>
    <t>殺し屋</t>
  </si>
  <si>
    <t>【カルマ】
芸人</t>
  </si>
  <si>
    <t>武器屋</t>
  </si>
  <si>
    <t>【カルマ】
泥酔</t>
  </si>
  <si>
    <t>守護者</t>
  </si>
  <si>
    <t>【カルマ】
自己愛</t>
  </si>
  <si>
    <t>反撃者</t>
  </si>
  <si>
    <t>【カルマ】
演技派</t>
  </si>
  <si>
    <t>影の者</t>
  </si>
  <si>
    <t>【カルマ】
中二病</t>
  </si>
  <si>
    <t>癒し手</t>
  </si>
  <si>
    <t>【カルマ】
ダイスの女神様</t>
  </si>
  <si>
    <t>使役者</t>
  </si>
  <si>
    <t>【特殊武装】
アタッチメント</t>
  </si>
  <si>
    <t>不幸</t>
  </si>
  <si>
    <t>【特殊武装】
ロケットランチャー</t>
  </si>
  <si>
    <t>抗体</t>
  </si>
  <si>
    <t>【特殊武装】
パイルバンカー</t>
  </si>
  <si>
    <t>愚者</t>
  </si>
  <si>
    <t>【特殊武装】
荷電粒子砲</t>
  </si>
  <si>
    <t>不死身</t>
  </si>
  <si>
    <t>【特殊武装】
手榴弾</t>
  </si>
  <si>
    <t>奉仕者</t>
  </si>
  <si>
    <t>【特殊武装】
トラップボム</t>
  </si>
  <si>
    <t>闇商人</t>
  </si>
  <si>
    <t>【特殊武装】
レールガン</t>
  </si>
  <si>
    <t>破壊者</t>
  </si>
  <si>
    <t>【特殊武装】
ドリル</t>
  </si>
  <si>
    <t>職人</t>
  </si>
  <si>
    <t>【特殊武装】
ブラスター</t>
  </si>
  <si>
    <t>鷹の目</t>
  </si>
  <si>
    <t>【特殊武装】
高周波ブレード</t>
  </si>
  <si>
    <t>幻影</t>
  </si>
  <si>
    <t>【特殊武装】
火炎放射器</t>
  </si>
  <si>
    <t>無血開城</t>
  </si>
  <si>
    <t>【特殊武装】
電子ドラッグ</t>
  </si>
  <si>
    <t>人外</t>
  </si>
  <si>
    <t>【特殊武装】
スタンガン</t>
  </si>
  <si>
    <t>希少種</t>
  </si>
  <si>
    <t>【特殊武装】
ワイヤートラップ</t>
  </si>
  <si>
    <t>勇猛</t>
  </si>
  <si>
    <t>【特殊武装】
フラッシュガン</t>
  </si>
  <si>
    <t>魔性</t>
  </si>
  <si>
    <t>【特殊武装】
増強アンプル</t>
  </si>
  <si>
    <t>下心</t>
  </si>
  <si>
    <t>【特殊武装】
強化シナプス</t>
  </si>
  <si>
    <t>献身</t>
  </si>
  <si>
    <t>【特殊武装】
スモーク</t>
  </si>
  <si>
    <t>孤高</t>
  </si>
  <si>
    <t>【特殊武装】
サイキックジャミング</t>
  </si>
  <si>
    <t>恋愛</t>
  </si>
  <si>
    <t>【特殊武装】
神経ジャマー</t>
  </si>
  <si>
    <t>交渉人</t>
  </si>
  <si>
    <t>【特殊武装】
トランスキャンセラー</t>
  </si>
  <si>
    <t>二枚舌</t>
  </si>
  <si>
    <t>【特殊武装】
クリエイトノイザー</t>
  </si>
  <si>
    <t>魔術師</t>
  </si>
  <si>
    <t>【特殊武装】
アーマー</t>
  </si>
  <si>
    <t>道化師</t>
  </si>
  <si>
    <t>【特殊武装】
ブラックボックス</t>
  </si>
  <si>
    <t>狂人</t>
  </si>
  <si>
    <t>【特殊武装】
パワードスーツ</t>
  </si>
  <si>
    <t>風雲児</t>
  </si>
  <si>
    <t>【特殊武装】
スキャンスコープ</t>
  </si>
  <si>
    <t>無頼漢</t>
  </si>
  <si>
    <t>【特殊武装】
高感度センサー</t>
  </si>
  <si>
    <t>小心翼翼</t>
  </si>
  <si>
    <t>【特殊武装】
高演算電脳</t>
  </si>
  <si>
    <t>芸人</t>
  </si>
  <si>
    <t>【特殊武装】
高性能マニピュレーター</t>
  </si>
  <si>
    <t>泥酔</t>
  </si>
  <si>
    <t>【特殊武装】
光学迷彩</t>
  </si>
  <si>
    <t>自己愛</t>
  </si>
  <si>
    <t>【特殊武装】
高出力ブースター</t>
  </si>
  <si>
    <t>演技派</t>
  </si>
  <si>
    <t>【特殊武装】
心拍スカウター</t>
  </si>
  <si>
    <t>中二病</t>
  </si>
  <si>
    <t>【ＡＥ】
コンセントレイション</t>
  </si>
  <si>
    <t>ダイスの女神様</t>
  </si>
  <si>
    <t>【ＡＥ】
ブースト</t>
  </si>
  <si>
    <t>【ＡＥ】
エール</t>
  </si>
  <si>
    <t>【ＡＥ】
死力</t>
  </si>
  <si>
    <t>【ＡＥ】
怪力乱神</t>
  </si>
  <si>
    <t>【ＡＥ】
臥薪嘗胆</t>
  </si>
  <si>
    <t>【ＡＥ】
才気煥発</t>
  </si>
  <si>
    <t>【ＡＥ】
明鏡止水</t>
  </si>
  <si>
    <t>【ＡＥ】
画竜点睛</t>
  </si>
  <si>
    <t>【ＡＥ】
電光石火</t>
  </si>
  <si>
    <t>【ＡＥ】
運否天賦</t>
  </si>
  <si>
    <t>【ＡＥ】
待機</t>
  </si>
  <si>
    <t>【ＡＥ】
移動</t>
  </si>
  <si>
    <t>【ＡＥ】
移動攻撃</t>
  </si>
  <si>
    <t>【ＡＥ】
離脱</t>
  </si>
  <si>
    <t>【ＡＥ】
参戦</t>
  </si>
  <si>
    <t>【ＡＥ】
参戦攻撃</t>
  </si>
  <si>
    <t>【ＡＥ】
回避放棄</t>
  </si>
  <si>
    <t>【ＡＥ】
カバーリング</t>
  </si>
  <si>
    <t>【ＡＥ】
カバー態勢</t>
  </si>
  <si>
    <t>【ＡＥ】
手加減</t>
  </si>
  <si>
    <t>【ＡＥ】
カウンター</t>
  </si>
  <si>
    <t>【ＡＥ】
不意打ち</t>
  </si>
  <si>
    <t>【ＡＥ】
ノックアウト</t>
  </si>
  <si>
    <t>【ＡＥ】
ヘッドショット</t>
  </si>
  <si>
    <t>【ＡＥ】
ホールド</t>
  </si>
  <si>
    <t>【ＡＥ】
締め付け</t>
  </si>
  <si>
    <t>【ＡＥ】
転換</t>
  </si>
  <si>
    <t>【ＡＥ】
解放</t>
  </si>
  <si>
    <t>【ＡＥ】
守護</t>
  </si>
  <si>
    <t>【ＡＥ】
供給</t>
  </si>
  <si>
    <t>復活バースト</t>
  </si>
  <si>
    <t>ダメージバースト</t>
  </si>
  <si>
    <t>抑制バースト</t>
  </si>
  <si>
    <t>発動バースト</t>
  </si>
  <si>
    <t>暴走バースト</t>
  </si>
  <si>
    <t>解除バースト</t>
  </si>
  <si>
    <t>連携バースト</t>
  </si>
  <si>
    <t>判定バースト</t>
  </si>
  <si>
    <t>ＨＰバースト</t>
  </si>
  <si>
    <t>ＰＰバースト</t>
  </si>
  <si>
    <t>キャラクター名</t>
  </si>
  <si>
    <t>ＰＬ名</t>
  </si>
  <si>
    <t>次回セッション</t>
  </si>
  <si>
    <t>※先にこちらの欄を入力する事で左欄にある程度数値が自動反映されます</t>
  </si>
  <si>
    <t>次回状態</t>
  </si>
  <si>
    <t>基礎技能値</t>
  </si>
  <si>
    <t>運ボーナス</t>
  </si>
  <si>
    <t>持ち越し因子ダイス</t>
  </si>
  <si>
    <t>→手入力</t>
  </si>
  <si>
    <t>→選択入力</t>
  </si>
  <si>
    <t>→自動反映</t>
  </si>
  <si>
    <t>→反映結果</t>
  </si>
  <si>
    <t>性別</t>
  </si>
  <si>
    <t>年齢</t>
  </si>
  <si>
    <t>身長</t>
  </si>
  <si>
    <t>崩壊深度</t>
  </si>
  <si>
    <t>後遺症</t>
  </si>
  <si>
    <t>▼ステータス計算</t>
  </si>
  <si>
    <t>職業</t>
  </si>
  <si>
    <t>基礎パラメーター</t>
  </si>
  <si>
    <t>総パラ</t>
  </si>
  <si>
    <t>基礎pt</t>
  </si>
  <si>
    <t>フリーpt</t>
  </si>
  <si>
    <t>計①</t>
  </si>
  <si>
    <t>能力者付与pt</t>
  </si>
  <si>
    <t>ノーマル付与pt</t>
  </si>
  <si>
    <t>身体付与pt</t>
  </si>
  <si>
    <t>①＋②</t>
  </si>
  <si>
    <t>ライフパス</t>
  </si>
  <si>
    <t>筋力</t>
  </si>
  <si>
    <t>スタンス</t>
  </si>
  <si>
    <t>耐久</t>
  </si>
  <si>
    <t>トゥルー</t>
  </si>
  <si>
    <t>知力</t>
  </si>
  <si>
    <t>パラメーター基準値</t>
  </si>
  <si>
    <t>キャライメージ</t>
  </si>
  <si>
    <t>精神</t>
  </si>
  <si>
    <t>無能</t>
  </si>
  <si>
    <t>貧弱</t>
  </si>
  <si>
    <t>常人</t>
  </si>
  <si>
    <t>秀才</t>
  </si>
  <si>
    <t>達人</t>
  </si>
  <si>
    <t>天才</t>
  </si>
  <si>
    <t>探索技能</t>
  </si>
  <si>
    <t>ＳＰＥ補正</t>
  </si>
  <si>
    <t>器用</t>
  </si>
  <si>
    <t>1～２</t>
  </si>
  <si>
    <t>３～４</t>
  </si>
  <si>
    <t>５～９</t>
  </si>
  <si>
    <t>１０～１３</t>
  </si>
  <si>
    <t>１４～１７</t>
  </si>
  <si>
    <t>１８～</t>
  </si>
  <si>
    <t>敏捷</t>
  </si>
  <si>
    <t>ステータス</t>
  </si>
  <si>
    <t>パラメーター</t>
  </si>
  <si>
    <t>運</t>
  </si>
  <si>
    <t>HP</t>
  </si>
  <si>
    <t>計</t>
  </si>
  <si>
    <t>運１～２</t>
  </si>
  <si>
    <t>―</t>
  </si>
  <si>
    <t>基礎技能値－２</t>
  </si>
  <si>
    <t>PP</t>
  </si>
  <si>
    <t>↑フリーpt入力計↑
計①がゼロ以下はＮＧ</t>
  </si>
  <si>
    <t>↑身体・能力タイプｐｔ↑
ノーマルは手入力</t>
  </si>
  <si>
    <t>運３～４</t>
  </si>
  <si>
    <t>基礎技能値－１</t>
  </si>
  <si>
    <t>運５～９</t>
  </si>
  <si>
    <t>暴走率</t>
  </si>
  <si>
    <t>運１０～１３</t>
  </si>
  <si>
    <t>基礎技能値+１</t>
  </si>
  <si>
    <t>キャラ特性付与パラメーター</t>
  </si>
  <si>
    <t>キャラpt</t>
  </si>
  <si>
    <t>運１４～１７</t>
  </si>
  <si>
    <t>命中・回避判定ダイス＋１Ｄ６</t>
  </si>
  <si>
    <t>基礎技能値+２</t>
  </si>
  <si>
    <t>防御力</t>
  </si>
  <si>
    <t>キャラ特性</t>
  </si>
  <si>
    <t>計②</t>
  </si>
  <si>
    <t>運１８～２０</t>
  </si>
  <si>
    <t>基礎技能値+３</t>
  </si>
  <si>
    <t>精神抵抗</t>
  </si>
  <si>
    <t>能力精度</t>
  </si>
  <si>
    <t>行動値</t>
  </si>
  <si>
    <t>発動スペック</t>
  </si>
  <si>
    <t>◆　探索技能補足説明　◆</t>
  </si>
  <si>
    <t>技能名</t>
  </si>
  <si>
    <t>説明</t>
  </si>
  <si>
    <t>命中・回避</t>
  </si>
  <si>
    <t>攻撃力</t>
  </si>
  <si>
    <t>物を動かす、ドアを破るなど、力で物事を突破する際に必要な判定技能。</t>
  </si>
  <si>
    <t>ＳＳ</t>
  </si>
  <si>
    <t>格闘</t>
  </si>
  <si>
    <t>消費pt</t>
  </si>
  <si>
    <t>物事・現場を観察し、何かに気づけるかどうかの判定技能。</t>
  </si>
  <si>
    <t>推理・考察時に何かを思い付けるかどうかの判定技能。</t>
  </si>
  <si>
    <t>命中力</t>
  </si>
  <si>
    <t>武器</t>
  </si>
  <si>
    <r>
      <t xml:space="preserve">攻撃力取得
</t>
    </r>
    <r>
      <rPr>
        <sz val="10"/>
        <color indexed="30"/>
        <rFont val="ＭＳ Ｐゴシック"/>
        <family val="3"/>
        <charset val="128"/>
      </rPr>
      <t>1D6/3点　固定値１/1点　点移行/2点</t>
    </r>
  </si>
  <si>
    <t>突然の出来事・気配等に反応できるか・気づけるかどうかの判定技能。</t>
  </si>
  <si>
    <t>睡眠回復量</t>
  </si>
  <si>
    <t>物事・情報・使用方法などについて知っているかどうかの判定技能。</t>
  </si>
  <si>
    <t>回避力</t>
  </si>
  <si>
    <t>能力</t>
  </si>
  <si>
    <t>ＨＰ＆ＰＰ回復量</t>
  </si>
  <si>
    <t>取得結果</t>
  </si>
  <si>
    <t>取得点</t>
  </si>
  <si>
    <t>機械を修理する、鍵開けを行うなど、技術を要求される場合の判定技能。</t>
  </si>
  <si>
    <t>暴走率回復量</t>
  </si>
  <si>
    <t>格闘点</t>
  </si>
  <si>
    <t>武器点</t>
  </si>
  <si>
    <t>能力点</t>
  </si>
  <si>
    <t>身を隠す、対象を追跡する、物を隠す際の判定技能。</t>
  </si>
  <si>
    <t>取得ダイス</t>
  </si>
  <si>
    <t>取得固定値</t>
  </si>
  <si>
    <t>移行結果</t>
  </si>
  <si>
    <t>逃げる、対象を追いかける、高所からの着地ができるかなどの判定技能。</t>
  </si>
  <si>
    <t>アイテム</t>
  </si>
  <si>
    <t>能力名</t>
  </si>
  <si>
    <t>格闘攻撃</t>
  </si>
  <si>
    <t>強制的に対象を従わせる、威嚇などで黙らせるなどに必要な判定技能。</t>
  </si>
  <si>
    <t>消費アイテム／アタッチメント</t>
  </si>
  <si>
    <t>所持品</t>
  </si>
  <si>
    <t>武器攻撃</t>
  </si>
  <si>
    <t>説得・言いくるめ・交渉など、話術が必要な際の判定技能。</t>
  </si>
  <si>
    <t>能力攻撃</t>
  </si>
  <si>
    <t>対象が嘘をついているかなど、相手の心情を察する判定技能。</t>
  </si>
  <si>
    <t>↑数値のみ入力でＯＫ</t>
  </si>
  <si>
    <t>▼　　　▼　　　▼　　　▼</t>
  </si>
  <si>
    <t>運が試される際の判定技能。</t>
  </si>
  <si>
    <t>能力説明</t>
  </si>
  <si>
    <t>↓　移行取得結果　↓</t>
  </si>
  <si>
    <t>■　技能判定 目安表　■</t>
  </si>
  <si>
    <t>技能判定値</t>
  </si>
  <si>
    <t>技能ランク</t>
  </si>
  <si>
    <t>難易度</t>
  </si>
  <si>
    <t>Ｎ</t>
  </si>
  <si>
    <t>Ｈ</t>
  </si>
  <si>
    <t>残り点</t>
  </si>
  <si>
    <t>ＡＥなし
ノーマル目標</t>
  </si>
  <si>
    <t>コンセLv.5
難易度ハード</t>
  </si>
  <si>
    <t>コンセLv.10
スーパーハード</t>
  </si>
  <si>
    <t>【　無能レベル　】誰もができて当然</t>
  </si>
  <si>
    <t>４～５</t>
  </si>
  <si>
    <t>９～１０</t>
  </si>
  <si>
    <t>１４～１５</t>
  </si>
  <si>
    <t>パラ依存</t>
  </si>
  <si>
    <t>コンディション</t>
  </si>
  <si>
    <t>特化補正</t>
  </si>
  <si>
    <t>その他補正</t>
  </si>
  <si>
    <t>【　貧弱レベル　】簡単にできる範囲</t>
  </si>
  <si>
    <t>６～７</t>
  </si>
  <si>
    <t>１１～１２</t>
  </si>
  <si>
    <t>１６～１７</t>
  </si>
  <si>
    <t>５～８</t>
  </si>
  <si>
    <t>【　常人レベル　】普通の人なら可能</t>
  </si>
  <si>
    <t>８～１１</t>
  </si>
  <si>
    <t>１３～１６</t>
  </si>
  <si>
    <t>１８～２１</t>
  </si>
  <si>
    <t>※アタッチメント欄</t>
  </si>
  <si>
    <t>９～１１</t>
  </si>
  <si>
    <t>【　秀才レベル　】得意な人の範囲</t>
  </si>
  <si>
    <t>１２～１４</t>
  </si>
  <si>
    <t>１７～１９</t>
  </si>
  <si>
    <t>２２～２４</t>
  </si>
  <si>
    <t>【　達人レベル　】プロレベル　</t>
  </si>
  <si>
    <t>１５～１７</t>
  </si>
  <si>
    <t>２０～２２</t>
  </si>
  <si>
    <t>２５～２７</t>
  </si>
  <si>
    <t>キャラクター説明・補足</t>
  </si>
  <si>
    <t>１５～</t>
  </si>
  <si>
    <t>【　天才レベル　】常人では達成困難</t>
  </si>
  <si>
    <t>２３～</t>
  </si>
  <si>
    <t>２８～</t>
  </si>
  <si>
    <t>SS</t>
  </si>
  <si>
    <t>命中</t>
  </si>
  <si>
    <t>回避</t>
  </si>
  <si>
    <t>攻撃力取得点</t>
  </si>
  <si>
    <t>主攻撃値</t>
  </si>
  <si>
    <t>補助攻撃値</t>
  </si>
  <si>
    <t>能力ボーナス</t>
  </si>
  <si>
    <t>格闘取得点</t>
  </si>
  <si>
    <t>+１Ｄ６</t>
  </si>
  <si>
    <t>武器取得点</t>
  </si>
  <si>
    <t>能力取得点</t>
  </si>
  <si>
    <r>
      <t xml:space="preserve">能力応用技 
</t>
    </r>
    <r>
      <rPr>
        <sz val="10"/>
        <color indexed="20"/>
        <rFont val="ＭＳ Ｐゴシック"/>
        <family val="3"/>
        <charset val="128"/>
      </rPr>
      <t>※応用技は最大８個まで</t>
    </r>
  </si>
  <si>
    <r>
      <t xml:space="preserve">行為発動・特殊技
</t>
    </r>
    <r>
      <rPr>
        <sz val="10"/>
        <color indexed="20"/>
        <rFont val="ＭＳ Ｐゴシック"/>
        <family val="3"/>
        <charset val="128"/>
      </rPr>
      <t>※フレーバーの行為発動や、技組合せのチェイン発動、
ＡＥ・ＳＰＥを演出の特殊技、特殊武装などをフレーバー技として明記したい場合に入力下さい。</t>
    </r>
  </si>
  <si>
    <t>防御発動量</t>
  </si>
  <si>
    <t>付加補正量</t>
  </si>
  <si>
    <t>技名</t>
  </si>
  <si>
    <t>消費</t>
  </si>
  <si>
    <t>必要スペック</t>
  </si>
  <si>
    <t>演出</t>
  </si>
  <si>
    <t>効果補足</t>
  </si>
  <si>
    <t>※この行には具体的な補正量やトリガー条件などをお書き下さい。</t>
  </si>
  <si>
    <t>※この行には具体的な効果やチェイン発動の組合せをお書き下さい。</t>
  </si>
  <si>
    <t>クリーチャー名</t>
  </si>
  <si>
    <t>創造タイプ</t>
  </si>
  <si>
    <t>使用PP</t>
  </si>
  <si>
    <t>クリーチャー判定値</t>
  </si>
  <si>
    <t>クリーチャー能力タイプ</t>
  </si>
  <si>
    <t>取得探索技能</t>
  </si>
  <si>
    <t>クリーチャーイメージ</t>
  </si>
  <si>
    <t>変動値</t>
  </si>
  <si>
    <t>取得可能数</t>
  </si>
  <si>
    <t>ダメージボーナス</t>
  </si>
  <si>
    <t>命中回避ダイス</t>
  </si>
  <si>
    <t>探索判定ダイス</t>
  </si>
  <si>
    <t>クリーチャー説明</t>
  </si>
  <si>
    <t>●補正部分は【　活性タイプ　】を選択したら、暴走率によって自動反映します。</t>
  </si>
  <si>
    <t>●ＳＳ・命中・回避の入力は【　2桁以上の数字　】を入力する事で自動変換の入力補助になってます。</t>
  </si>
  <si>
    <t>※「101」と入力したら「10＋1D6」と反映。下1桁がダイス数扱いとなる。</t>
  </si>
  <si>
    <t>●上記同様に攻撃力の入力は【　3桁の数字　】を入力する事で自動変換の入力補助になってます。</t>
  </si>
  <si>
    <t>※「101」と入力したら「1D6+１」と反映。仮に4桁の「1011」と入力したら「10D6+11」と反映される。</t>
  </si>
  <si>
    <t>共有メモ</t>
  </si>
  <si>
    <t>メモ欄</t>
  </si>
  <si>
    <t>→</t>
  </si>
  <si>
    <t>→ＨＰ結果</t>
  </si>
  <si>
    <t>→ＰＰ結果</t>
  </si>
  <si>
    <t>→暴走率結果</t>
  </si>
  <si>
    <t>アイテム欄</t>
  </si>
  <si>
    <t>ＨＰ</t>
  </si>
  <si>
    <t>総消費PP</t>
  </si>
  <si>
    <t>因子Ｄ</t>
  </si>
  <si>
    <t>因子Ｄ増減欄⇒</t>
  </si>
  <si>
    <t>condition</t>
  </si>
  <si>
    <t>±入力</t>
  </si>
  <si>
    <t>ＨＰ変動欄⇒</t>
  </si>
  <si>
    <t>素HP</t>
  </si>
  <si>
    <t>追加HP</t>
  </si>
  <si>
    <t>消費ＰＰ欄⇒</t>
  </si>
  <si>
    <t>プラス入力のみ</t>
  </si>
  <si>
    <t>精度</t>
  </si>
  <si>
    <t>回復ＰＰ欄⇒</t>
  </si>
  <si>
    <r>
      <t>素</t>
    </r>
    <r>
      <rPr>
        <sz val="9"/>
        <rFont val="ＭＳ Ｐゴシック"/>
        <family val="3"/>
        <charset val="128"/>
      </rPr>
      <t>PP</t>
    </r>
  </si>
  <si>
    <r>
      <t>追加</t>
    </r>
    <r>
      <rPr>
        <sz val="9"/>
        <rFont val="ＭＳ Ｐゴシック"/>
        <family val="3"/>
        <charset val="128"/>
      </rPr>
      <t>PP</t>
    </r>
  </si>
  <si>
    <t>抵抗</t>
  </si>
  <si>
    <t>スペック</t>
  </si>
  <si>
    <t>暴走率変動欄⇒</t>
  </si>
  <si>
    <t>素暴走</t>
  </si>
  <si>
    <t>追加暴走</t>
  </si>
  <si>
    <t>はむぱん</t>
    <phoneticPr fontId="53"/>
  </si>
  <si>
    <t>男</t>
    <rPh sb="0" eb="1">
      <t>オトコ</t>
    </rPh>
    <phoneticPr fontId="53"/>
  </si>
  <si>
    <t>逃げ足</t>
    <rPh sb="0" eb="1">
      <t>ニ</t>
    </rPh>
    <rPh sb="2" eb="3">
      <t>アシ</t>
    </rPh>
    <phoneticPr fontId="53"/>
  </si>
  <si>
    <t>なし</t>
    <phoneticPr fontId="53"/>
  </si>
  <si>
    <t>なし</t>
    <phoneticPr fontId="53"/>
  </si>
  <si>
    <t>親の七光り</t>
    <rPh sb="0" eb="1">
      <t>オヤ</t>
    </rPh>
    <rPh sb="2" eb="4">
      <t>ナナヒカ</t>
    </rPh>
    <phoneticPr fontId="53"/>
  </si>
  <si>
    <t>立ち回りの上手さ</t>
    <rPh sb="0" eb="1">
      <t>タ</t>
    </rPh>
    <rPh sb="2" eb="3">
      <t>マワ</t>
    </rPh>
    <rPh sb="5" eb="7">
      <t>ウマ</t>
    </rPh>
    <phoneticPr fontId="53"/>
  </si>
  <si>
    <t>自尊心</t>
    <rPh sb="0" eb="3">
      <t>ジソンシン</t>
    </rPh>
    <phoneticPr fontId="53"/>
  </si>
  <si>
    <t>スネ夫</t>
    <rPh sb="2" eb="3">
      <t>オ</t>
    </rPh>
    <phoneticPr fontId="53"/>
  </si>
  <si>
    <t>おいおい、ひがみはやめてくれよ</t>
    <phoneticPr fontId="53"/>
  </si>
  <si>
    <t>厳かな服</t>
    <rPh sb="0" eb="1">
      <t>オゴソ</t>
    </rPh>
    <rPh sb="3" eb="4">
      <t>フク</t>
    </rPh>
    <phoneticPr fontId="53"/>
  </si>
  <si>
    <t>煌びやかな指輪</t>
    <rPh sb="0" eb="1">
      <t>キラ</t>
    </rPh>
    <rPh sb="5" eb="7">
      <t>ユビワ</t>
    </rPh>
    <phoneticPr fontId="53"/>
  </si>
  <si>
    <t>携帯端末</t>
    <rPh sb="0" eb="2">
      <t>ケイタイ</t>
    </rPh>
    <rPh sb="2" eb="4">
      <t>タンマツ</t>
    </rPh>
    <phoneticPr fontId="53"/>
  </si>
  <si>
    <t>クレカ（父親名義）</t>
    <rPh sb="4" eb="6">
      <t>チチオヤ</t>
    </rPh>
    <rPh sb="6" eb="8">
      <t>メイギ</t>
    </rPh>
    <phoneticPr fontId="53"/>
  </si>
  <si>
    <t>ナイフ</t>
    <phoneticPr fontId="53"/>
  </si>
  <si>
    <t>園　松温（その　しょうおん）</t>
    <rPh sb="2" eb="3">
      <t>マツ</t>
    </rPh>
    <phoneticPr fontId="53"/>
  </si>
  <si>
    <t>親の名刺</t>
    <rPh sb="0" eb="1">
      <t>オヤ</t>
    </rPh>
    <rPh sb="2" eb="4">
      <t>メイシ</t>
    </rPh>
    <phoneticPr fontId="53"/>
  </si>
  <si>
    <t>武器攻撃</t>
    <rPh sb="0" eb="2">
      <t>ブキ</t>
    </rPh>
    <rPh sb="2" eb="4">
      <t>コウゲキ</t>
    </rPh>
    <phoneticPr fontId="53"/>
  </si>
  <si>
    <t>父の書斎から盗み出したもの</t>
    <rPh sb="0" eb="1">
      <t>チチ</t>
    </rPh>
    <rPh sb="2" eb="4">
      <t>ショサイ</t>
    </rPh>
    <rPh sb="6" eb="7">
      <t>ヌス</t>
    </rPh>
    <rPh sb="8" eb="9">
      <t>ダ</t>
    </rPh>
    <phoneticPr fontId="53"/>
  </si>
  <si>
    <t>わかる人にはわかるかもしれない。</t>
    <rPh sb="3" eb="4">
      <t>ヒト</t>
    </rPh>
    <phoneticPr fontId="53"/>
  </si>
  <si>
    <t>電脳ゲーム好き</t>
    <rPh sb="0" eb="2">
      <t>デンノウ</t>
    </rPh>
    <rPh sb="5" eb="6">
      <t>ズ</t>
    </rPh>
    <phoneticPr fontId="53"/>
  </si>
  <si>
    <t>ノーマル特区【 エデン 】生まれ、9歳まではそこで暮らしていたが、父の仕事の関係で、現在はエデンの外で暮らしている。
エデン民らしく能力者に対して差別的であり、大人などに対しても生意気にキャンキャン吠える。
同年代同志では親の威光を借り、金や物に言わせ優越感を得ている。基本的に寂しがり屋であり、他者と交流するのが好きではある。
しかしながら、彼にも自尊心というものがあり、親の威を借ることを内心醜いと思っており、自分自身の力で何かを成し遂げたいともよく考えている。
調子に乗っているときは嫌なやつだが、追い詰められ自棄になると本領を発揮するタイプ…?</t>
    <rPh sb="13" eb="14">
      <t>ウ</t>
    </rPh>
    <rPh sb="18" eb="19">
      <t>サイ</t>
    </rPh>
    <rPh sb="25" eb="26">
      <t>ク</t>
    </rPh>
    <rPh sb="33" eb="34">
      <t>チチ</t>
    </rPh>
    <rPh sb="35" eb="37">
      <t>シゴト</t>
    </rPh>
    <rPh sb="38" eb="40">
      <t>カンケイ</t>
    </rPh>
    <rPh sb="42" eb="44">
      <t>ゲンザイ</t>
    </rPh>
    <rPh sb="49" eb="50">
      <t>ソト</t>
    </rPh>
    <rPh sb="51" eb="52">
      <t>ク</t>
    </rPh>
    <rPh sb="63" eb="64">
      <t>ミン</t>
    </rPh>
    <rPh sb="67" eb="69">
      <t>ノウリョク</t>
    </rPh>
    <rPh sb="69" eb="70">
      <t>シャ</t>
    </rPh>
    <rPh sb="71" eb="72">
      <t>タイ</t>
    </rPh>
    <rPh sb="74" eb="77">
      <t>サベツテキ</t>
    </rPh>
    <rPh sb="81" eb="83">
      <t>オトナ</t>
    </rPh>
    <rPh sb="86" eb="87">
      <t>タイ</t>
    </rPh>
    <rPh sb="90" eb="93">
      <t>ナマイキ</t>
    </rPh>
    <rPh sb="100" eb="101">
      <t>ホ</t>
    </rPh>
    <rPh sb="105" eb="108">
      <t>ドウネンダイ</t>
    </rPh>
    <rPh sb="108" eb="110">
      <t>ドウシ</t>
    </rPh>
    <rPh sb="112" eb="113">
      <t>オヤ</t>
    </rPh>
    <rPh sb="114" eb="116">
      <t>イコウ</t>
    </rPh>
    <rPh sb="117" eb="118">
      <t>カ</t>
    </rPh>
    <rPh sb="120" eb="121">
      <t>カネ</t>
    </rPh>
    <rPh sb="122" eb="123">
      <t>モノ</t>
    </rPh>
    <rPh sb="124" eb="125">
      <t>イ</t>
    </rPh>
    <rPh sb="127" eb="130">
      <t>ユウエツカン</t>
    </rPh>
    <rPh sb="131" eb="132">
      <t>エ</t>
    </rPh>
    <rPh sb="136" eb="139">
      <t>キホンテキ</t>
    </rPh>
    <rPh sb="140" eb="141">
      <t>サミ</t>
    </rPh>
    <rPh sb="144" eb="145">
      <t>ヤ</t>
    </rPh>
    <rPh sb="149" eb="151">
      <t>タシャ</t>
    </rPh>
    <rPh sb="152" eb="154">
      <t>コウリュウ</t>
    </rPh>
    <rPh sb="158" eb="159">
      <t>ス</t>
    </rPh>
    <rPh sb="174" eb="175">
      <t>カレ</t>
    </rPh>
    <rPh sb="177" eb="180">
      <t>ジソンシン</t>
    </rPh>
    <rPh sb="189" eb="190">
      <t>オヤ</t>
    </rPh>
    <rPh sb="191" eb="192">
      <t>イ</t>
    </rPh>
    <rPh sb="193" eb="194">
      <t>カ</t>
    </rPh>
    <rPh sb="198" eb="200">
      <t>ナイシン</t>
    </rPh>
    <rPh sb="200" eb="201">
      <t>ミニク</t>
    </rPh>
    <rPh sb="203" eb="204">
      <t>オモ</t>
    </rPh>
    <rPh sb="209" eb="211">
      <t>ジブン</t>
    </rPh>
    <rPh sb="211" eb="213">
      <t>ジシン</t>
    </rPh>
    <rPh sb="214" eb="215">
      <t>チカラ</t>
    </rPh>
    <rPh sb="216" eb="217">
      <t>ナニ</t>
    </rPh>
    <rPh sb="219" eb="220">
      <t>ナ</t>
    </rPh>
    <rPh sb="221" eb="222">
      <t>ト</t>
    </rPh>
    <rPh sb="229" eb="230">
      <t>カンガ</t>
    </rPh>
    <rPh sb="237" eb="239">
      <t>チョウシ</t>
    </rPh>
    <rPh sb="240" eb="241">
      <t>ノ</t>
    </rPh>
    <rPh sb="248" eb="249">
      <t>イヤ</t>
    </rPh>
    <rPh sb="255" eb="256">
      <t>オ</t>
    </rPh>
    <rPh sb="257" eb="258">
      <t>ツ</t>
    </rPh>
    <rPh sb="261" eb="263">
      <t>ジキ</t>
    </rPh>
    <rPh sb="267" eb="269">
      <t>ホンリョウ</t>
    </rPh>
    <rPh sb="270" eb="272">
      <t>ハッキ</t>
    </rPh>
    <phoneticPr fontId="53"/>
  </si>
</sst>
</file>

<file path=xl/styles.xml><?xml version="1.0" encoding="utf-8"?>
<styleSheet xmlns="http://schemas.openxmlformats.org/spreadsheetml/2006/main" xmlns:mc="http://schemas.openxmlformats.org/markup-compatibility/2006" xmlns:x14ac="http://schemas.microsoft.com/office/spreadsheetml/2009/9/ac" mc:Ignorable="x14ac">
  <numFmts count="13">
    <numFmt numFmtId="176" formatCode="General&quot;Ｄ６&quot;"/>
    <numFmt numFmtId="177" formatCode="&quot;深度&quot;General"/>
    <numFmt numFmtId="178" formatCode="General&quot;％&quot;"/>
    <numFmt numFmtId="179" formatCode="@&quot;　&quot;"/>
    <numFmt numFmtId="180" formatCode="&quot;＋&quot;General&quot;Ｄ６&quot;"/>
    <numFmt numFmtId="181" formatCode="&quot;＋&quot;General"/>
    <numFmt numFmtId="182" formatCode="General&quot; +２Ｄ６&quot;"/>
    <numFmt numFmtId="183" formatCode="General&quot;点&quot;"/>
    <numFmt numFmtId="184" formatCode="&quot;／&quot;General"/>
    <numFmt numFmtId="185" formatCode="General&quot;％　⇒&quot;"/>
    <numFmt numFmtId="186" formatCode="General&quot;D6&quot;"/>
    <numFmt numFmtId="187" formatCode="#\+#&quot;D6&quot;"/>
    <numFmt numFmtId="188" formatCode="##&quot;D6+&quot;##"/>
  </numFmts>
  <fonts count="55" x14ac:knownFonts="1">
    <font>
      <sz val="10"/>
      <name val="ＭＳ Ｐゴシック"/>
      <family val="3"/>
      <charset val="128"/>
    </font>
    <font>
      <sz val="12"/>
      <color indexed="8"/>
      <name val="ＭＳ Ｐ明朝"/>
      <family val="1"/>
      <charset val="128"/>
    </font>
    <font>
      <b/>
      <sz val="10"/>
      <name val="ＭＳ Ｐゴシック"/>
      <family val="3"/>
      <charset val="128"/>
    </font>
    <font>
      <sz val="10"/>
      <name val="Arial"/>
      <family val="2"/>
      <charset val="128"/>
    </font>
    <font>
      <sz val="10"/>
      <name val="ＭＳ Ｐゴシック"/>
      <family val="2"/>
      <charset val="128"/>
    </font>
    <font>
      <sz val="12"/>
      <color indexed="8"/>
      <name val="ＭＳ Ｐゴシック"/>
      <family val="3"/>
      <charset val="128"/>
    </font>
    <font>
      <b/>
      <sz val="11"/>
      <color indexed="9"/>
      <name val="ＭＳ Ｐゴシック"/>
      <family val="3"/>
      <charset val="128"/>
    </font>
    <font>
      <b/>
      <sz val="12"/>
      <color indexed="10"/>
      <name val="ＭＳ Ｐゴシック"/>
      <family val="3"/>
      <charset val="128"/>
    </font>
    <font>
      <b/>
      <sz val="15"/>
      <color indexed="8"/>
      <name val="ＭＳ Ｐゴシック"/>
      <family val="3"/>
      <charset val="128"/>
    </font>
    <font>
      <sz val="10"/>
      <color indexed="8"/>
      <name val="ＭＳ Ｐゴシック"/>
      <family val="3"/>
    </font>
    <font>
      <sz val="10"/>
      <color indexed="8"/>
      <name val="ＭＳ Ｐゴシック"/>
      <family val="3"/>
      <charset val="128"/>
    </font>
    <font>
      <b/>
      <sz val="11"/>
      <color indexed="8"/>
      <name val="ＭＳ Ｐゴシック"/>
      <family val="3"/>
      <charset val="128"/>
    </font>
    <font>
      <sz val="12"/>
      <name val="ＭＳ Ｐゴシック"/>
      <family val="3"/>
      <charset val="128"/>
    </font>
    <font>
      <sz val="11"/>
      <name val="ＭＳ Ｐゴシック"/>
      <family val="3"/>
      <charset val="128"/>
    </font>
    <font>
      <sz val="11"/>
      <color indexed="8"/>
      <name val="ＭＳ Ｐゴシック"/>
      <family val="3"/>
      <charset val="128"/>
    </font>
    <font>
      <b/>
      <sz val="12"/>
      <color indexed="9"/>
      <name val="ＭＳ Ｐゴシック"/>
      <family val="3"/>
      <charset val="128"/>
    </font>
    <font>
      <b/>
      <sz val="10"/>
      <color indexed="8"/>
      <name val="ＭＳ Ｐゴシック"/>
      <family val="3"/>
      <charset val="128"/>
    </font>
    <font>
      <b/>
      <sz val="12"/>
      <color indexed="8"/>
      <name val="ＭＳ Ｐゴシック"/>
      <family val="3"/>
      <charset val="128"/>
    </font>
    <font>
      <sz val="11"/>
      <color indexed="8"/>
      <name val="ＭＳ Ｐ明朝"/>
      <family val="1"/>
      <charset val="128"/>
    </font>
    <font>
      <b/>
      <i/>
      <sz val="11"/>
      <color indexed="9"/>
      <name val="ＭＳ Ｐゴシック"/>
      <family val="3"/>
      <charset val="128"/>
    </font>
    <font>
      <b/>
      <sz val="14"/>
      <color indexed="8"/>
      <name val="ＭＳ Ｐゴシック"/>
      <family val="3"/>
      <charset val="128"/>
    </font>
    <font>
      <b/>
      <sz val="14"/>
      <name val="ＭＳ Ｐゴシック"/>
      <family val="3"/>
      <charset val="128"/>
    </font>
    <font>
      <i/>
      <sz val="10"/>
      <name val="ＭＳ Ｐゴシック"/>
      <family val="3"/>
      <charset val="128"/>
    </font>
    <font>
      <sz val="10"/>
      <name val="ＭＳ Ｐゴシック"/>
      <family val="3"/>
    </font>
    <font>
      <sz val="12"/>
      <color indexed="8"/>
      <name val="ＭＳ Ｐゴシック"/>
      <family val="3"/>
    </font>
    <font>
      <sz val="10.5"/>
      <name val="ＭＳ Ｐゴシック"/>
      <family val="3"/>
      <charset val="128"/>
    </font>
    <font>
      <sz val="11"/>
      <name val="ＭＳ Ｐゴシック"/>
      <family val="3"/>
    </font>
    <font>
      <b/>
      <sz val="12"/>
      <name val="ＭＳ Ｐゴシック"/>
      <family val="3"/>
      <charset val="128"/>
    </font>
    <font>
      <sz val="10"/>
      <color indexed="30"/>
      <name val="ＭＳ Ｐゴシック"/>
      <family val="3"/>
      <charset val="128"/>
    </font>
    <font>
      <sz val="11"/>
      <color indexed="8"/>
      <name val="ＭＳ Ｐゴシック"/>
      <family val="3"/>
    </font>
    <font>
      <sz val="9"/>
      <name val="ＭＳ Ｐゴシック"/>
      <family val="3"/>
      <charset val="128"/>
    </font>
    <font>
      <sz val="12"/>
      <name val="ＭＳ Ｐゴシック"/>
      <family val="3"/>
    </font>
    <font>
      <sz val="9"/>
      <color indexed="8"/>
      <name val="ＭＳ Ｐゴシック"/>
      <family val="3"/>
      <charset val="128"/>
    </font>
    <font>
      <sz val="10"/>
      <color indexed="9"/>
      <name val="ＭＳ Ｐゴシック"/>
      <family val="3"/>
      <charset val="128"/>
    </font>
    <font>
      <sz val="7"/>
      <color indexed="8"/>
      <name val="ＭＳ Ｐゴシック"/>
      <family val="3"/>
      <charset val="128"/>
    </font>
    <font>
      <sz val="10.5"/>
      <color indexed="8"/>
      <name val="ＭＳ Ｐゴシック"/>
      <family val="3"/>
      <charset val="128"/>
    </font>
    <font>
      <sz val="24"/>
      <name val="ＭＳ Ｐゴシック"/>
      <family val="3"/>
      <charset val="128"/>
    </font>
    <font>
      <sz val="10"/>
      <color indexed="20"/>
      <name val="ＭＳ Ｐゴシック"/>
      <family val="3"/>
      <charset val="128"/>
    </font>
    <font>
      <b/>
      <sz val="12"/>
      <color indexed="9"/>
      <name val="ＭＳ Ｐゴシック"/>
      <family val="3"/>
    </font>
    <font>
      <b/>
      <sz val="12"/>
      <color indexed="8"/>
      <name val="ＭＳ Ｐゴシック"/>
      <family val="3"/>
    </font>
    <font>
      <b/>
      <i/>
      <sz val="12"/>
      <color indexed="21"/>
      <name val="ＭＳ Ｐゴシック"/>
      <family val="3"/>
      <charset val="128"/>
    </font>
    <font>
      <b/>
      <sz val="15"/>
      <name val="ＭＳ Ｐゴシック"/>
      <family val="3"/>
      <charset val="128"/>
    </font>
    <font>
      <b/>
      <sz val="15"/>
      <color indexed="21"/>
      <name val="ＭＳ Ｐゴシック"/>
      <family val="3"/>
      <charset val="128"/>
    </font>
    <font>
      <sz val="10"/>
      <color indexed="9"/>
      <name val="ＭＳ Ｐゴシック"/>
      <family val="3"/>
    </font>
    <font>
      <b/>
      <sz val="11"/>
      <color indexed="8"/>
      <name val="メイリオ"/>
      <family val="3"/>
      <charset val="128"/>
    </font>
    <font>
      <b/>
      <sz val="11"/>
      <name val="ＭＳ Ｐゴシック"/>
      <family val="3"/>
      <charset val="128"/>
    </font>
    <font>
      <b/>
      <sz val="10"/>
      <color indexed="9"/>
      <name val="ＭＳ Ｐゴシック"/>
      <family val="3"/>
      <charset val="128"/>
    </font>
    <font>
      <sz val="9"/>
      <color indexed="9"/>
      <name val="ＭＳ Ｐゴシック"/>
      <family val="3"/>
      <charset val="128"/>
    </font>
    <font>
      <sz val="9"/>
      <color indexed="9"/>
      <name val="ＭＳ Ｐゴシック"/>
      <family val="3"/>
    </font>
    <font>
      <sz val="9"/>
      <name val="ＭＳ Ｐゴシック"/>
      <family val="3"/>
    </font>
    <font>
      <i/>
      <sz val="9"/>
      <name val="ＭＳ Ｐゴシック"/>
      <family val="3"/>
      <charset val="128"/>
    </font>
    <font>
      <b/>
      <sz val="9"/>
      <name val="ＭＳ Ｐゴシック"/>
      <family val="3"/>
      <charset val="128"/>
    </font>
    <font>
      <sz val="9"/>
      <color indexed="63"/>
      <name val="ＭＳ Ｐゴシック"/>
      <family val="3"/>
      <charset val="128"/>
    </font>
    <font>
      <sz val="6"/>
      <name val="ＭＳ Ｐゴシック"/>
      <family val="3"/>
      <charset val="128"/>
    </font>
    <font>
      <sz val="10"/>
      <color rgb="FF000000"/>
      <name val="ＭＳ Ｐゴシック"/>
      <family val="3"/>
      <charset val="128"/>
    </font>
  </fonts>
  <fills count="21">
    <fill>
      <patternFill patternType="none"/>
    </fill>
    <fill>
      <patternFill patternType="gray125"/>
    </fill>
    <fill>
      <patternFill patternType="solid">
        <fgColor indexed="27"/>
        <bgColor indexed="42"/>
      </patternFill>
    </fill>
    <fill>
      <patternFill patternType="solid">
        <fgColor indexed="22"/>
        <bgColor indexed="31"/>
      </patternFill>
    </fill>
    <fill>
      <patternFill patternType="solid">
        <fgColor indexed="62"/>
        <bgColor indexed="59"/>
      </patternFill>
    </fill>
    <fill>
      <patternFill patternType="solid">
        <fgColor indexed="31"/>
        <bgColor indexed="22"/>
      </patternFill>
    </fill>
    <fill>
      <patternFill patternType="solid">
        <fgColor indexed="9"/>
        <bgColor indexed="26"/>
      </patternFill>
    </fill>
    <fill>
      <patternFill patternType="solid">
        <fgColor indexed="43"/>
        <bgColor indexed="13"/>
      </patternFill>
    </fill>
    <fill>
      <patternFill patternType="solid">
        <fgColor indexed="47"/>
        <bgColor indexed="31"/>
      </patternFill>
    </fill>
    <fill>
      <patternFill patternType="solid">
        <fgColor indexed="40"/>
        <bgColor indexed="21"/>
      </patternFill>
    </fill>
    <fill>
      <patternFill patternType="solid">
        <fgColor indexed="25"/>
        <bgColor indexed="29"/>
      </patternFill>
    </fill>
    <fill>
      <patternFill patternType="solid">
        <fgColor indexed="8"/>
        <bgColor indexed="58"/>
      </patternFill>
    </fill>
    <fill>
      <patternFill patternType="solid">
        <fgColor indexed="41"/>
        <bgColor indexed="9"/>
      </patternFill>
    </fill>
    <fill>
      <patternFill patternType="solid">
        <fgColor indexed="59"/>
        <bgColor indexed="63"/>
      </patternFill>
    </fill>
    <fill>
      <patternFill patternType="solid">
        <fgColor indexed="44"/>
        <bgColor indexed="24"/>
      </patternFill>
    </fill>
    <fill>
      <patternFill patternType="solid">
        <fgColor indexed="50"/>
        <bgColor indexed="55"/>
      </patternFill>
    </fill>
    <fill>
      <patternFill patternType="solid">
        <fgColor indexed="24"/>
        <bgColor indexed="46"/>
      </patternFill>
    </fill>
    <fill>
      <patternFill patternType="solid">
        <fgColor indexed="13"/>
        <bgColor indexed="43"/>
      </patternFill>
    </fill>
    <fill>
      <patternFill patternType="solid">
        <fgColor indexed="53"/>
        <bgColor indexed="29"/>
      </patternFill>
    </fill>
    <fill>
      <patternFill patternType="solid">
        <fgColor indexed="29"/>
        <bgColor indexed="53"/>
      </patternFill>
    </fill>
    <fill>
      <patternFill patternType="solid">
        <fgColor indexed="55"/>
        <bgColor indexed="23"/>
      </patternFill>
    </fill>
  </fills>
  <borders count="99">
    <border>
      <left/>
      <right/>
      <top/>
      <bottom/>
      <diagonal/>
    </border>
    <border>
      <left style="medium">
        <color indexed="8"/>
      </left>
      <right style="thin">
        <color indexed="23"/>
      </right>
      <top style="medium">
        <color indexed="8"/>
      </top>
      <bottom style="thin">
        <color indexed="23"/>
      </bottom>
      <diagonal/>
    </border>
    <border>
      <left style="thin">
        <color indexed="23"/>
      </left>
      <right style="medium">
        <color indexed="8"/>
      </right>
      <top style="medium">
        <color indexed="8"/>
      </top>
      <bottom style="thin">
        <color indexed="23"/>
      </bottom>
      <diagonal/>
    </border>
    <border>
      <left style="medium">
        <color indexed="8"/>
      </left>
      <right style="medium">
        <color indexed="8"/>
      </right>
      <top style="medium">
        <color indexed="8"/>
      </top>
      <bottom style="thin">
        <color indexed="23"/>
      </bottom>
      <diagonal/>
    </border>
    <border>
      <left style="medium">
        <color indexed="8"/>
      </left>
      <right style="medium">
        <color indexed="8"/>
      </right>
      <top style="medium">
        <color indexed="8"/>
      </top>
      <bottom style="medium">
        <color indexed="8"/>
      </bottom>
      <diagonal/>
    </border>
    <border>
      <left style="medium">
        <color indexed="8"/>
      </left>
      <right style="thin">
        <color indexed="23"/>
      </right>
      <top style="thin">
        <color indexed="23"/>
      </top>
      <bottom style="thin">
        <color indexed="23"/>
      </bottom>
      <diagonal/>
    </border>
    <border>
      <left style="thin">
        <color indexed="23"/>
      </left>
      <right style="medium">
        <color indexed="8"/>
      </right>
      <top style="thin">
        <color indexed="23"/>
      </top>
      <bottom style="thin">
        <color indexed="23"/>
      </bottom>
      <diagonal/>
    </border>
    <border>
      <left style="medium">
        <color indexed="8"/>
      </left>
      <right style="thin">
        <color indexed="8"/>
      </right>
      <top style="medium">
        <color indexed="8"/>
      </top>
      <bottom style="medium">
        <color indexed="8"/>
      </bottom>
      <diagonal/>
    </border>
    <border>
      <left style="thin">
        <color indexed="8"/>
      </left>
      <right style="medium">
        <color indexed="8"/>
      </right>
      <top style="medium">
        <color indexed="8"/>
      </top>
      <bottom style="medium">
        <color indexed="8"/>
      </bottom>
      <diagonal/>
    </border>
    <border>
      <left style="medium">
        <color indexed="8"/>
      </left>
      <right style="thin">
        <color indexed="8"/>
      </right>
      <top style="medium">
        <color indexed="8"/>
      </top>
      <bottom style="thin">
        <color indexed="8"/>
      </bottom>
      <diagonal/>
    </border>
    <border>
      <left style="thin">
        <color indexed="8"/>
      </left>
      <right style="thin">
        <color indexed="8"/>
      </right>
      <top style="medium">
        <color indexed="8"/>
      </top>
      <bottom style="thin">
        <color indexed="8"/>
      </bottom>
      <diagonal/>
    </border>
    <border>
      <left style="thin">
        <color indexed="8"/>
      </left>
      <right style="medium">
        <color indexed="8"/>
      </right>
      <top style="thin">
        <color indexed="8"/>
      </top>
      <bottom style="thin">
        <color indexed="8"/>
      </bottom>
      <diagonal/>
    </border>
    <border>
      <left style="medium">
        <color indexed="8"/>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style="thin">
        <color indexed="23"/>
      </left>
      <right style="thin">
        <color indexed="23"/>
      </right>
      <top style="thin">
        <color indexed="23"/>
      </top>
      <bottom style="thin">
        <color indexed="23"/>
      </bottom>
      <diagonal/>
    </border>
    <border>
      <left style="medium">
        <color indexed="8"/>
      </left>
      <right style="hair">
        <color indexed="23"/>
      </right>
      <top style="hair">
        <color indexed="23"/>
      </top>
      <bottom style="medium">
        <color indexed="8"/>
      </bottom>
      <diagonal/>
    </border>
    <border>
      <left style="thin">
        <color indexed="23"/>
      </left>
      <right style="medium">
        <color indexed="8"/>
      </right>
      <top style="hair">
        <color indexed="23"/>
      </top>
      <bottom style="medium">
        <color indexed="8"/>
      </bottom>
      <diagonal/>
    </border>
    <border>
      <left style="thin">
        <color indexed="8"/>
      </left>
      <right style="medium">
        <color indexed="8"/>
      </right>
      <top style="medium">
        <color indexed="8"/>
      </top>
      <bottom style="thin">
        <color indexed="8"/>
      </bottom>
      <diagonal/>
    </border>
    <border>
      <left style="medium">
        <color indexed="8"/>
      </left>
      <right style="thin">
        <color indexed="23"/>
      </right>
      <top style="thin">
        <color indexed="23"/>
      </top>
      <bottom style="medium">
        <color indexed="8"/>
      </bottom>
      <diagonal/>
    </border>
    <border>
      <left style="thin">
        <color indexed="23"/>
      </left>
      <right style="thin">
        <color indexed="23"/>
      </right>
      <top style="thin">
        <color indexed="23"/>
      </top>
      <bottom style="medium">
        <color indexed="8"/>
      </bottom>
      <diagonal/>
    </border>
    <border>
      <left style="thin">
        <color indexed="23"/>
      </left>
      <right style="thin">
        <color indexed="23"/>
      </right>
      <top style="medium">
        <color indexed="8"/>
      </top>
      <bottom style="medium">
        <color indexed="8"/>
      </bottom>
      <diagonal/>
    </border>
    <border>
      <left style="thin">
        <color indexed="23"/>
      </left>
      <right style="medium">
        <color indexed="8"/>
      </right>
      <top style="medium">
        <color indexed="8"/>
      </top>
      <bottom style="medium">
        <color indexed="8"/>
      </bottom>
      <diagonal/>
    </border>
    <border>
      <left style="thin">
        <color indexed="23"/>
      </left>
      <right style="medium">
        <color indexed="8"/>
      </right>
      <top style="thin">
        <color indexed="23"/>
      </top>
      <bottom style="medium">
        <color indexed="8"/>
      </bottom>
      <diagonal/>
    </border>
    <border>
      <left style="medium">
        <color indexed="8"/>
      </left>
      <right style="thin">
        <color indexed="8"/>
      </right>
      <top style="thin">
        <color indexed="8"/>
      </top>
      <bottom style="medium">
        <color indexed="8"/>
      </bottom>
      <diagonal/>
    </border>
    <border>
      <left style="thin">
        <color indexed="8"/>
      </left>
      <right style="medium">
        <color indexed="8"/>
      </right>
      <top style="thin">
        <color indexed="8"/>
      </top>
      <bottom style="medium">
        <color indexed="8"/>
      </bottom>
      <diagonal/>
    </border>
    <border>
      <left style="medium">
        <color indexed="8"/>
      </left>
      <right style="medium">
        <color indexed="8"/>
      </right>
      <top style="medium">
        <color indexed="8"/>
      </top>
      <bottom/>
      <diagonal/>
    </border>
    <border>
      <left style="medium">
        <color indexed="8"/>
      </left>
      <right style="medium">
        <color indexed="8"/>
      </right>
      <top style="medium">
        <color indexed="8"/>
      </top>
      <bottom style="thin">
        <color indexed="8"/>
      </bottom>
      <diagonal/>
    </border>
    <border>
      <left style="medium">
        <color indexed="8"/>
      </left>
      <right style="double">
        <color indexed="8"/>
      </right>
      <top style="thin">
        <color indexed="8"/>
      </top>
      <bottom style="double">
        <color indexed="8"/>
      </bottom>
      <diagonal/>
    </border>
    <border>
      <left style="thin">
        <color indexed="8"/>
      </left>
      <right style="thin">
        <color indexed="8"/>
      </right>
      <top style="thin">
        <color indexed="8"/>
      </top>
      <bottom style="double">
        <color indexed="8"/>
      </bottom>
      <diagonal/>
    </border>
    <border>
      <left style="thin">
        <color indexed="8"/>
      </left>
      <right style="double">
        <color indexed="8"/>
      </right>
      <top style="thin">
        <color indexed="8"/>
      </top>
      <bottom style="double">
        <color indexed="8"/>
      </bottom>
      <diagonal/>
    </border>
    <border>
      <left style="medium">
        <color indexed="8"/>
      </left>
      <right style="medium">
        <color indexed="8"/>
      </right>
      <top style="thin">
        <color indexed="8"/>
      </top>
      <bottom style="double">
        <color indexed="8"/>
      </bottom>
      <diagonal/>
    </border>
    <border>
      <left style="thin">
        <color indexed="8"/>
      </left>
      <right style="thin">
        <color indexed="8"/>
      </right>
      <top style="thin">
        <color indexed="8"/>
      </top>
      <bottom style="medium">
        <color indexed="8"/>
      </bottom>
      <diagonal/>
    </border>
    <border>
      <left style="medium">
        <color indexed="8"/>
      </left>
      <right style="thin">
        <color indexed="23"/>
      </right>
      <top style="medium">
        <color indexed="8"/>
      </top>
      <bottom style="medium">
        <color indexed="8"/>
      </bottom>
      <diagonal/>
    </border>
    <border>
      <left/>
      <right style="medium">
        <color indexed="8"/>
      </right>
      <top style="medium">
        <color indexed="8"/>
      </top>
      <bottom style="medium">
        <color indexed="8"/>
      </bottom>
      <diagonal/>
    </border>
    <border>
      <left style="medium">
        <color indexed="8"/>
      </left>
      <right style="double">
        <color indexed="8"/>
      </right>
      <top style="thin">
        <color indexed="8"/>
      </top>
      <bottom style="thin">
        <color indexed="8"/>
      </bottom>
      <diagonal/>
    </border>
    <border>
      <left style="thin">
        <color indexed="8"/>
      </left>
      <right style="double">
        <color indexed="8"/>
      </right>
      <top style="thin">
        <color indexed="8"/>
      </top>
      <bottom style="thin">
        <color indexed="8"/>
      </bottom>
      <diagonal/>
    </border>
    <border>
      <left style="medium">
        <color indexed="8"/>
      </left>
      <right style="medium">
        <color indexed="8"/>
      </right>
      <top style="thin">
        <color indexed="8"/>
      </top>
      <bottom style="thin">
        <color indexed="8"/>
      </bottom>
      <diagonal/>
    </border>
    <border>
      <left style="medium">
        <color indexed="8"/>
      </left>
      <right style="medium">
        <color indexed="8"/>
      </right>
      <top style="thin">
        <color indexed="23"/>
      </top>
      <bottom style="medium">
        <color indexed="8"/>
      </bottom>
      <diagonal/>
    </border>
    <border>
      <left style="medium">
        <color indexed="8"/>
      </left>
      <right style="double">
        <color indexed="8"/>
      </right>
      <top/>
      <bottom style="medium">
        <color indexed="8"/>
      </bottom>
      <diagonal/>
    </border>
    <border>
      <left style="thin">
        <color indexed="8"/>
      </left>
      <right style="thin">
        <color indexed="8"/>
      </right>
      <top/>
      <bottom style="medium">
        <color indexed="8"/>
      </bottom>
      <diagonal/>
    </border>
    <border>
      <left style="thin">
        <color indexed="8"/>
      </left>
      <right style="double">
        <color indexed="8"/>
      </right>
      <top style="thin">
        <color indexed="8"/>
      </top>
      <bottom style="medium">
        <color indexed="8"/>
      </bottom>
      <diagonal/>
    </border>
    <border>
      <left style="medium">
        <color indexed="8"/>
      </left>
      <right style="medium">
        <color indexed="8"/>
      </right>
      <top style="thin">
        <color indexed="8"/>
      </top>
      <bottom style="medium">
        <color indexed="8"/>
      </bottom>
      <diagonal/>
    </border>
    <border>
      <left style="thin">
        <color indexed="8"/>
      </left>
      <right/>
      <top style="medium">
        <color indexed="8"/>
      </top>
      <bottom style="thin">
        <color indexed="8"/>
      </bottom>
      <diagonal/>
    </border>
    <border>
      <left/>
      <right style="medium">
        <color indexed="8"/>
      </right>
      <top style="medium">
        <color indexed="8"/>
      </top>
      <bottom style="thin">
        <color indexed="8"/>
      </bottom>
      <diagonal/>
    </border>
    <border>
      <left style="medium">
        <color indexed="8"/>
      </left>
      <right/>
      <top style="thin">
        <color indexed="8"/>
      </top>
      <bottom style="double">
        <color indexed="8"/>
      </bottom>
      <diagonal/>
    </border>
    <border>
      <left style="thin">
        <color indexed="8"/>
      </left>
      <right style="medium">
        <color indexed="8"/>
      </right>
      <top style="thin">
        <color indexed="8"/>
      </top>
      <bottom style="double">
        <color indexed="8"/>
      </bottom>
      <diagonal/>
    </border>
    <border>
      <left style="medium">
        <color indexed="8"/>
      </left>
      <right/>
      <top style="thin">
        <color indexed="8"/>
      </top>
      <bottom style="thin">
        <color indexed="8"/>
      </bottom>
      <diagonal/>
    </border>
    <border>
      <left style="medium">
        <color indexed="8"/>
      </left>
      <right style="medium">
        <color indexed="8"/>
      </right>
      <top style="thin">
        <color indexed="23"/>
      </top>
      <bottom style="thin">
        <color indexed="23"/>
      </bottom>
      <diagonal/>
    </border>
    <border>
      <left/>
      <right style="medium">
        <color indexed="8"/>
      </right>
      <top style="medium">
        <color indexed="8"/>
      </top>
      <bottom/>
      <diagonal/>
    </border>
    <border>
      <left style="thin">
        <color indexed="23"/>
      </left>
      <right/>
      <top style="thin">
        <color indexed="23"/>
      </top>
      <bottom style="thin">
        <color indexed="23"/>
      </bottom>
      <diagonal/>
    </border>
    <border>
      <left/>
      <right style="medium">
        <color indexed="8"/>
      </right>
      <top style="thin">
        <color indexed="23"/>
      </top>
      <bottom style="thin">
        <color indexed="23"/>
      </bottom>
      <diagonal/>
    </border>
    <border>
      <left/>
      <right/>
      <top style="medium">
        <color indexed="8"/>
      </top>
      <bottom/>
      <diagonal/>
    </border>
    <border>
      <left style="thin">
        <color indexed="23"/>
      </left>
      <right/>
      <top style="thin">
        <color indexed="23"/>
      </top>
      <bottom style="medium">
        <color indexed="8"/>
      </bottom>
      <diagonal/>
    </border>
    <border>
      <left/>
      <right style="medium">
        <color indexed="8"/>
      </right>
      <top style="thin">
        <color indexed="23"/>
      </top>
      <bottom style="medium">
        <color indexed="8"/>
      </bottom>
      <diagonal/>
    </border>
    <border>
      <left style="thick">
        <color indexed="25"/>
      </left>
      <right style="thick">
        <color indexed="25"/>
      </right>
      <top style="thick">
        <color indexed="25"/>
      </top>
      <bottom style="medium">
        <color indexed="8"/>
      </bottom>
      <diagonal/>
    </border>
    <border>
      <left style="double">
        <color indexed="8"/>
      </left>
      <right style="double">
        <color indexed="8"/>
      </right>
      <top style="medium">
        <color indexed="8"/>
      </top>
      <bottom style="thin">
        <color indexed="8"/>
      </bottom>
      <diagonal/>
    </border>
    <border>
      <left/>
      <right style="medium">
        <color indexed="8"/>
      </right>
      <top/>
      <bottom/>
      <diagonal/>
    </border>
    <border>
      <left style="thick">
        <color indexed="25"/>
      </left>
      <right style="thin">
        <color indexed="8"/>
      </right>
      <top style="medium">
        <color indexed="8"/>
      </top>
      <bottom style="thin">
        <color indexed="8"/>
      </bottom>
      <diagonal/>
    </border>
    <border>
      <left style="thin">
        <color indexed="8"/>
      </left>
      <right style="thin">
        <color indexed="23"/>
      </right>
      <top style="medium">
        <color indexed="8"/>
      </top>
      <bottom style="thin">
        <color indexed="8"/>
      </bottom>
      <diagonal/>
    </border>
    <border>
      <left style="thin">
        <color indexed="23"/>
      </left>
      <right style="thick">
        <color indexed="25"/>
      </right>
      <top style="medium">
        <color indexed="8"/>
      </top>
      <bottom style="thin">
        <color indexed="8"/>
      </bottom>
      <diagonal/>
    </border>
    <border>
      <left style="double">
        <color indexed="8"/>
      </left>
      <right style="double">
        <color indexed="8"/>
      </right>
      <top style="thin">
        <color indexed="8"/>
      </top>
      <bottom style="thin">
        <color indexed="8"/>
      </bottom>
      <diagonal/>
    </border>
    <border>
      <left style="double">
        <color indexed="8"/>
      </left>
      <right style="thin">
        <color indexed="8"/>
      </right>
      <top style="thin">
        <color indexed="8"/>
      </top>
      <bottom style="thin">
        <color indexed="8"/>
      </bottom>
      <diagonal/>
    </border>
    <border>
      <left style="thick">
        <color indexed="25"/>
      </left>
      <right style="thin">
        <color indexed="8"/>
      </right>
      <top style="thin">
        <color indexed="8"/>
      </top>
      <bottom style="thin">
        <color indexed="8"/>
      </bottom>
      <diagonal/>
    </border>
    <border>
      <left style="thin">
        <color indexed="8"/>
      </left>
      <right/>
      <top style="thin">
        <color indexed="8"/>
      </top>
      <bottom style="thin">
        <color indexed="8"/>
      </bottom>
      <diagonal/>
    </border>
    <border>
      <left/>
      <right style="thick">
        <color indexed="25"/>
      </right>
      <top style="thin">
        <color indexed="8"/>
      </top>
      <bottom style="thin">
        <color indexed="8"/>
      </bottom>
      <diagonal/>
    </border>
    <border>
      <left style="medium">
        <color indexed="8"/>
      </left>
      <right style="medium">
        <color indexed="8"/>
      </right>
      <top/>
      <bottom style="thin">
        <color indexed="8"/>
      </bottom>
      <diagonal/>
    </border>
    <border>
      <left style="thick">
        <color indexed="25"/>
      </left>
      <right style="double">
        <color indexed="8"/>
      </right>
      <top style="thin">
        <color indexed="8"/>
      </top>
      <bottom style="thin">
        <color indexed="8"/>
      </bottom>
      <diagonal/>
    </border>
    <border>
      <left style="thick">
        <color indexed="25"/>
      </left>
      <right style="thin">
        <color indexed="8"/>
      </right>
      <top style="thin">
        <color indexed="8"/>
      </top>
      <bottom style="thick">
        <color indexed="25"/>
      </bottom>
      <diagonal/>
    </border>
    <border>
      <left style="thin">
        <color indexed="8"/>
      </left>
      <right/>
      <top style="thin">
        <color indexed="8"/>
      </top>
      <bottom style="thick">
        <color indexed="25"/>
      </bottom>
      <diagonal/>
    </border>
    <border>
      <left/>
      <right style="thick">
        <color indexed="25"/>
      </right>
      <top style="thin">
        <color indexed="8"/>
      </top>
      <bottom style="thick">
        <color indexed="25"/>
      </bottom>
      <diagonal/>
    </border>
    <border>
      <left style="medium">
        <color indexed="8"/>
      </left>
      <right style="double">
        <color indexed="8"/>
      </right>
      <top style="thin">
        <color indexed="8"/>
      </top>
      <bottom style="medium">
        <color indexed="8"/>
      </bottom>
      <diagonal/>
    </border>
    <border>
      <left style="double">
        <color indexed="8"/>
      </left>
      <right style="thin">
        <color indexed="8"/>
      </right>
      <top style="thin">
        <color indexed="8"/>
      </top>
      <bottom style="medium">
        <color indexed="8"/>
      </bottom>
      <diagonal/>
    </border>
    <border>
      <left style="medium">
        <color indexed="8"/>
      </left>
      <right style="medium">
        <color indexed="8"/>
      </right>
      <top/>
      <bottom style="medium">
        <color indexed="8"/>
      </bottom>
      <diagonal/>
    </border>
    <border>
      <left style="hair">
        <color indexed="8"/>
      </left>
      <right style="hair">
        <color indexed="8"/>
      </right>
      <top style="hair">
        <color indexed="8"/>
      </top>
      <bottom style="hair">
        <color indexed="8"/>
      </bottom>
      <diagonal/>
    </border>
    <border>
      <left style="medium">
        <color indexed="8"/>
      </left>
      <right/>
      <top/>
      <bottom/>
      <diagonal/>
    </border>
    <border>
      <left/>
      <right style="thin">
        <color indexed="8"/>
      </right>
      <top style="thin">
        <color indexed="8"/>
      </top>
      <bottom style="thin">
        <color indexed="8"/>
      </bottom>
      <diagonal/>
    </border>
    <border>
      <left style="thin">
        <color indexed="23"/>
      </left>
      <right style="thin">
        <color indexed="23"/>
      </right>
      <top style="medium">
        <color indexed="8"/>
      </top>
      <bottom style="thin">
        <color indexed="23"/>
      </bottom>
      <diagonal/>
    </border>
    <border>
      <left style="medium">
        <color indexed="8"/>
      </left>
      <right style="medium">
        <color indexed="8"/>
      </right>
      <top style="thin">
        <color indexed="23"/>
      </top>
      <bottom/>
      <diagonal/>
    </border>
    <border>
      <left style="medium">
        <color indexed="8"/>
      </left>
      <right/>
      <top style="thin">
        <color indexed="23"/>
      </top>
      <bottom style="medium">
        <color indexed="8"/>
      </bottom>
      <diagonal/>
    </border>
    <border>
      <left/>
      <right style="thin">
        <color indexed="23"/>
      </right>
      <top style="thin">
        <color indexed="23"/>
      </top>
      <bottom style="medium">
        <color indexed="8"/>
      </bottom>
      <diagonal/>
    </border>
    <border>
      <left style="thin">
        <color indexed="8"/>
      </left>
      <right style="thin">
        <color indexed="8"/>
      </right>
      <top style="medium">
        <color indexed="8"/>
      </top>
      <bottom style="medium">
        <color indexed="8"/>
      </bottom>
      <diagonal/>
    </border>
    <border>
      <left style="medium">
        <color indexed="8"/>
      </left>
      <right style="hair">
        <color indexed="8"/>
      </right>
      <top style="medium">
        <color indexed="8"/>
      </top>
      <bottom style="thin">
        <color indexed="23"/>
      </bottom>
      <diagonal/>
    </border>
    <border>
      <left style="thin">
        <color indexed="8"/>
      </left>
      <right style="medium">
        <color indexed="8"/>
      </right>
      <top style="medium">
        <color indexed="8"/>
      </top>
      <bottom style="thin">
        <color indexed="23"/>
      </bottom>
      <diagonal/>
    </border>
    <border>
      <left style="medium">
        <color indexed="8"/>
      </left>
      <right style="hair">
        <color indexed="8"/>
      </right>
      <top style="thin">
        <color indexed="23"/>
      </top>
      <bottom style="medium">
        <color indexed="8"/>
      </bottom>
      <diagonal/>
    </border>
    <border>
      <left style="thin">
        <color indexed="8"/>
      </left>
      <right style="medium">
        <color indexed="8"/>
      </right>
      <top style="thin">
        <color indexed="23"/>
      </top>
      <bottom style="medium">
        <color indexed="8"/>
      </bottom>
      <diagonal/>
    </border>
    <border>
      <left style="medium">
        <color indexed="8"/>
      </left>
      <right style="thin">
        <color indexed="8"/>
      </right>
      <top style="medium">
        <color indexed="8"/>
      </top>
      <bottom/>
      <diagonal/>
    </border>
    <border>
      <left style="thin">
        <color indexed="8"/>
      </left>
      <right style="thin">
        <color indexed="8"/>
      </right>
      <top style="medium">
        <color indexed="8"/>
      </top>
      <bottom/>
      <diagonal/>
    </border>
    <border>
      <left style="thin">
        <color indexed="8"/>
      </left>
      <right style="medium">
        <color indexed="8"/>
      </right>
      <top style="medium">
        <color indexed="8"/>
      </top>
      <bottom/>
      <diagonal/>
    </border>
    <border>
      <left style="medium">
        <color indexed="8"/>
      </left>
      <right/>
      <top/>
      <bottom style="thin">
        <color indexed="8"/>
      </bottom>
      <diagonal/>
    </border>
    <border>
      <left/>
      <right style="thin">
        <color indexed="8"/>
      </right>
      <top/>
      <bottom style="thin">
        <color indexed="8"/>
      </bottom>
      <diagonal/>
    </border>
    <border>
      <left style="thin">
        <color indexed="8"/>
      </left>
      <right/>
      <top/>
      <bottom style="thin">
        <color indexed="8"/>
      </bottom>
      <diagonal/>
    </border>
    <border>
      <left/>
      <right style="medium">
        <color indexed="8"/>
      </right>
      <top/>
      <bottom style="thin">
        <color indexed="8"/>
      </bottom>
      <diagonal/>
    </border>
    <border>
      <left style="medium">
        <color indexed="8"/>
      </left>
      <right/>
      <top style="thin">
        <color indexed="8"/>
      </top>
      <bottom style="medium">
        <color indexed="8"/>
      </bottom>
      <diagonal/>
    </border>
    <border>
      <left/>
      <right/>
      <top style="thin">
        <color indexed="8"/>
      </top>
      <bottom style="medium">
        <color indexed="8"/>
      </bottom>
      <diagonal/>
    </border>
    <border>
      <left style="thin">
        <color indexed="8"/>
      </left>
      <right style="thin">
        <color indexed="8"/>
      </right>
      <top style="thin">
        <color indexed="8"/>
      </top>
      <bottom/>
      <diagonal/>
    </border>
    <border>
      <left style="medium">
        <color indexed="8"/>
      </left>
      <right style="thin">
        <color indexed="8"/>
      </right>
      <top/>
      <bottom style="thin">
        <color indexed="8"/>
      </bottom>
      <diagonal/>
    </border>
    <border>
      <left style="thin">
        <color indexed="8"/>
      </left>
      <right style="thin">
        <color indexed="8"/>
      </right>
      <top/>
      <bottom style="thin">
        <color indexed="8"/>
      </bottom>
      <diagonal/>
    </border>
    <border>
      <left style="thin">
        <color indexed="8"/>
      </left>
      <right style="medium">
        <color indexed="8"/>
      </right>
      <top/>
      <bottom style="thin">
        <color indexed="8"/>
      </bottom>
      <diagonal/>
    </border>
    <border>
      <left/>
      <right style="thin">
        <color indexed="8"/>
      </right>
      <top style="thin">
        <color indexed="8"/>
      </top>
      <bottom style="medium">
        <color indexed="8"/>
      </bottom>
      <diagonal/>
    </border>
  </borders>
  <cellStyleXfs count="2">
    <xf numFmtId="0" fontId="0" fillId="0" borderId="0"/>
    <xf numFmtId="0" fontId="1" fillId="0" borderId="0">
      <alignment vertical="center"/>
    </xf>
  </cellStyleXfs>
  <cellXfs count="442">
    <xf numFmtId="0" fontId="0" fillId="0" borderId="0" xfId="0"/>
    <xf numFmtId="0" fontId="1" fillId="0" borderId="0" xfId="1">
      <alignment vertical="center"/>
    </xf>
    <xf numFmtId="0" fontId="2" fillId="0" borderId="0" xfId="0" applyFont="1" applyAlignment="1">
      <alignment horizontal="center"/>
    </xf>
    <xf numFmtId="0" fontId="1" fillId="0" borderId="0" xfId="1" applyFont="1">
      <alignment vertical="center"/>
    </xf>
    <xf numFmtId="0" fontId="0" fillId="0" borderId="0" xfId="0" applyFont="1" applyAlignment="1">
      <alignment wrapText="1"/>
    </xf>
    <xf numFmtId="0" fontId="1" fillId="0" borderId="0" xfId="1" applyFont="1" applyAlignment="1">
      <alignment vertical="center" wrapText="1"/>
    </xf>
    <xf numFmtId="0" fontId="0" fillId="0" borderId="0" xfId="0" applyFont="1"/>
    <xf numFmtId="0" fontId="0" fillId="0" borderId="0" xfId="1" applyFont="1" applyAlignment="1">
      <alignment vertical="center" wrapText="1"/>
    </xf>
    <xf numFmtId="0" fontId="5" fillId="0" borderId="0" xfId="1" applyFont="1" applyAlignment="1">
      <alignment horizontal="center" vertical="center" shrinkToFit="1"/>
    </xf>
    <xf numFmtId="0" fontId="5" fillId="0" borderId="0" xfId="1" applyFont="1" applyBorder="1" applyAlignment="1">
      <alignment horizontal="center" vertical="center" shrinkToFit="1"/>
    </xf>
    <xf numFmtId="0" fontId="0" fillId="2" borderId="0" xfId="0" applyFill="1"/>
    <xf numFmtId="0" fontId="5" fillId="2" borderId="0" xfId="1" applyFont="1" applyFill="1" applyAlignment="1">
      <alignment horizontal="center" vertical="center" shrinkToFit="1"/>
    </xf>
    <xf numFmtId="0" fontId="0" fillId="2" borderId="0" xfId="0" applyFill="1" applyAlignment="1">
      <alignment vertical="center" shrinkToFit="1"/>
    </xf>
    <xf numFmtId="0" fontId="0" fillId="3" borderId="0" xfId="0" applyFill="1" applyAlignment="1">
      <alignment vertical="center" shrinkToFit="1"/>
    </xf>
    <xf numFmtId="0" fontId="0" fillId="3" borderId="0" xfId="0" applyFill="1" applyBorder="1" applyAlignment="1">
      <alignment vertical="center" shrinkToFit="1"/>
    </xf>
    <xf numFmtId="0" fontId="0" fillId="0" borderId="0" xfId="0" applyAlignment="1">
      <alignment shrinkToFit="1"/>
    </xf>
    <xf numFmtId="0" fontId="5" fillId="3" borderId="0" xfId="1" applyFont="1" applyFill="1" applyBorder="1" applyAlignment="1">
      <alignment horizontal="center" vertical="center" shrinkToFit="1"/>
    </xf>
    <xf numFmtId="0" fontId="5" fillId="3" borderId="0" xfId="1" applyFont="1" applyFill="1" applyAlignment="1">
      <alignment horizontal="center" vertical="center" shrinkToFit="1"/>
    </xf>
    <xf numFmtId="0" fontId="0" fillId="5" borderId="8" xfId="0" applyFont="1" applyFill="1" applyBorder="1" applyAlignment="1">
      <alignment horizontal="center" vertical="center" shrinkToFit="1"/>
    </xf>
    <xf numFmtId="0" fontId="10" fillId="5" borderId="5" xfId="1" applyFont="1" applyFill="1" applyBorder="1" applyAlignment="1">
      <alignment horizontal="center" vertical="center" shrinkToFit="1"/>
    </xf>
    <xf numFmtId="0" fontId="5" fillId="6" borderId="4" xfId="1" applyFont="1" applyFill="1" applyBorder="1" applyAlignment="1">
      <alignment horizontal="center" vertical="center" shrinkToFit="1"/>
    </xf>
    <xf numFmtId="0" fontId="10" fillId="3" borderId="0" xfId="1" applyFont="1" applyFill="1" applyAlignment="1">
      <alignment horizontal="left" vertical="center" shrinkToFit="1"/>
    </xf>
    <xf numFmtId="0" fontId="5" fillId="7" borderId="4" xfId="1" applyFont="1" applyFill="1" applyBorder="1" applyAlignment="1">
      <alignment horizontal="center" vertical="center" shrinkToFit="1"/>
    </xf>
    <xf numFmtId="0" fontId="5" fillId="5" borderId="4" xfId="1" applyFont="1" applyFill="1" applyBorder="1" applyAlignment="1">
      <alignment horizontal="center" vertical="center" shrinkToFit="1"/>
    </xf>
    <xf numFmtId="0" fontId="5" fillId="8" borderId="4" xfId="1" applyFont="1" applyFill="1" applyBorder="1" applyAlignment="1">
      <alignment horizontal="center" vertical="center" shrinkToFit="1"/>
    </xf>
    <xf numFmtId="0" fontId="13" fillId="5" borderId="10" xfId="0" applyFont="1" applyFill="1" applyBorder="1" applyAlignment="1">
      <alignment horizontal="center" vertical="center" shrinkToFit="1"/>
    </xf>
    <xf numFmtId="0" fontId="5" fillId="5" borderId="11" xfId="1" applyFont="1" applyFill="1" applyBorder="1" applyAlignment="1">
      <alignment horizontal="center" vertical="center" shrinkToFit="1"/>
    </xf>
    <xf numFmtId="0" fontId="13" fillId="5" borderId="13" xfId="0" applyFont="1" applyFill="1" applyBorder="1" applyAlignment="1">
      <alignment horizontal="center" vertical="center" shrinkToFit="1"/>
    </xf>
    <xf numFmtId="0" fontId="14" fillId="5" borderId="14" xfId="1" applyFont="1" applyFill="1" applyBorder="1" applyAlignment="1">
      <alignment horizontal="center" vertical="center" shrinkToFit="1"/>
    </xf>
    <xf numFmtId="0" fontId="14" fillId="5" borderId="19" xfId="1" applyFont="1" applyFill="1" applyBorder="1" applyAlignment="1">
      <alignment horizontal="center" vertical="center" shrinkToFit="1"/>
    </xf>
    <xf numFmtId="0" fontId="14" fillId="5" borderId="26" xfId="1" applyFont="1" applyFill="1" applyBorder="1" applyAlignment="1">
      <alignment horizontal="center" vertical="center" shrinkToFit="1"/>
    </xf>
    <xf numFmtId="0" fontId="14" fillId="5" borderId="27" xfId="1" applyFont="1" applyFill="1" applyBorder="1" applyAlignment="1">
      <alignment horizontal="center" vertical="center" shrinkToFit="1"/>
    </xf>
    <xf numFmtId="0" fontId="14" fillId="5" borderId="28" xfId="1" applyFont="1" applyFill="1" applyBorder="1" applyAlignment="1">
      <alignment horizontal="center" vertical="center" shrinkToFit="1"/>
    </xf>
    <xf numFmtId="0" fontId="14" fillId="5" borderId="29" xfId="1" applyFont="1" applyFill="1" applyBorder="1" applyAlignment="1">
      <alignment horizontal="center" vertical="center" shrinkToFit="1"/>
    </xf>
    <xf numFmtId="0" fontId="18" fillId="5" borderId="30" xfId="1" applyFont="1" applyFill="1" applyBorder="1" applyAlignment="1">
      <alignment horizontal="center" vertical="center" shrinkToFit="1"/>
    </xf>
    <xf numFmtId="0" fontId="13" fillId="5" borderId="31" xfId="0" applyFont="1" applyFill="1" applyBorder="1" applyAlignment="1">
      <alignment horizontal="center" vertical="center" shrinkToFit="1"/>
    </xf>
    <xf numFmtId="0" fontId="5" fillId="5" borderId="24" xfId="1" applyFont="1" applyFill="1" applyBorder="1" applyAlignment="1">
      <alignment horizontal="center" vertical="center" shrinkToFit="1"/>
    </xf>
    <xf numFmtId="0" fontId="14" fillId="5" borderId="34" xfId="1" applyFont="1" applyFill="1" applyBorder="1" applyAlignment="1">
      <alignment horizontal="center" vertical="center" shrinkToFit="1"/>
    </xf>
    <xf numFmtId="0" fontId="5" fillId="5" borderId="13" xfId="1" applyFont="1" applyFill="1" applyBorder="1" applyAlignment="1">
      <alignment horizontal="center" vertical="center" shrinkToFit="1"/>
    </xf>
    <xf numFmtId="0" fontId="5" fillId="6" borderId="13" xfId="1" applyFont="1" applyFill="1" applyBorder="1" applyAlignment="1">
      <alignment horizontal="center" vertical="center" shrinkToFit="1"/>
    </xf>
    <xf numFmtId="0" fontId="5" fillId="5" borderId="35" xfId="1" applyFont="1" applyFill="1" applyBorder="1" applyAlignment="1">
      <alignment horizontal="center" vertical="center" shrinkToFit="1"/>
    </xf>
    <xf numFmtId="0" fontId="5" fillId="8" borderId="36" xfId="1" applyFont="1" applyFill="1" applyBorder="1" applyAlignment="1">
      <alignment horizontal="center" vertical="center" shrinkToFit="1"/>
    </xf>
    <xf numFmtId="0" fontId="22" fillId="2" borderId="0" xfId="0" applyFont="1" applyFill="1"/>
    <xf numFmtId="0" fontId="5" fillId="6" borderId="12" xfId="1" applyFont="1" applyFill="1" applyBorder="1" applyAlignment="1">
      <alignment horizontal="center" vertical="center" shrinkToFit="1"/>
    </xf>
    <xf numFmtId="0" fontId="5" fillId="6" borderId="11" xfId="1" applyFont="1" applyFill="1" applyBorder="1" applyAlignment="1">
      <alignment horizontal="center" vertical="center" shrinkToFit="1"/>
    </xf>
    <xf numFmtId="0" fontId="23" fillId="5" borderId="2" xfId="0" applyFont="1" applyFill="1" applyBorder="1" applyAlignment="1">
      <alignment horizontal="center" vertical="center" shrinkToFit="1"/>
    </xf>
    <xf numFmtId="0" fontId="5" fillId="6" borderId="23" xfId="1" applyFont="1" applyFill="1" applyBorder="1" applyAlignment="1">
      <alignment horizontal="center" vertical="center" shrinkToFit="1"/>
    </xf>
    <xf numFmtId="0" fontId="24" fillId="6" borderId="31" xfId="1" applyFont="1" applyFill="1" applyBorder="1" applyAlignment="1">
      <alignment horizontal="center" vertical="center" shrinkToFit="1"/>
    </xf>
    <xf numFmtId="0" fontId="24" fillId="6" borderId="24" xfId="1" applyFont="1" applyFill="1" applyBorder="1" applyAlignment="1">
      <alignment horizontal="center" vertical="center" shrinkToFit="1"/>
    </xf>
    <xf numFmtId="0" fontId="25" fillId="5" borderId="5" xfId="0" applyFont="1" applyFill="1" applyBorder="1" applyAlignment="1">
      <alignment horizontal="center" vertical="center" shrinkToFit="1"/>
    </xf>
    <xf numFmtId="0" fontId="12" fillId="8" borderId="14" xfId="0" applyFont="1" applyFill="1" applyBorder="1" applyAlignment="1">
      <alignment horizontal="center" vertical="center" shrinkToFit="1"/>
    </xf>
    <xf numFmtId="0" fontId="13" fillId="5" borderId="6" xfId="0" applyFont="1" applyFill="1" applyBorder="1" applyAlignment="1">
      <alignment horizontal="center" vertical="center" shrinkToFit="1"/>
    </xf>
    <xf numFmtId="0" fontId="5" fillId="8" borderId="6" xfId="1" applyFont="1" applyFill="1" applyBorder="1" applyAlignment="1">
      <alignment horizontal="center" vertical="center" shrinkToFit="1"/>
    </xf>
    <xf numFmtId="0" fontId="14" fillId="5" borderId="38" xfId="1" applyFont="1" applyFill="1" applyBorder="1" applyAlignment="1">
      <alignment horizontal="center" vertical="center" shrinkToFit="1"/>
    </xf>
    <xf numFmtId="0" fontId="5" fillId="5" borderId="39" xfId="1" applyFont="1" applyFill="1" applyBorder="1" applyAlignment="1">
      <alignment horizontal="center" vertical="center" shrinkToFit="1"/>
    </xf>
    <xf numFmtId="0" fontId="5" fillId="5" borderId="40" xfId="1" applyFont="1" applyFill="1" applyBorder="1" applyAlignment="1">
      <alignment horizontal="center" vertical="center" shrinkToFit="1"/>
    </xf>
    <xf numFmtId="0" fontId="5" fillId="5" borderId="41" xfId="1" applyFont="1" applyFill="1" applyBorder="1" applyAlignment="1">
      <alignment horizontal="center" vertical="center" shrinkToFit="1"/>
    </xf>
    <xf numFmtId="0" fontId="12" fillId="0" borderId="13" xfId="1" applyFont="1" applyFill="1" applyBorder="1" applyAlignment="1">
      <alignment horizontal="center" vertical="center" shrinkToFit="1"/>
    </xf>
    <xf numFmtId="0" fontId="5" fillId="5" borderId="42" xfId="1" applyFont="1" applyFill="1" applyBorder="1" applyAlignment="1">
      <alignment horizontal="center" vertical="center" shrinkToFit="1"/>
    </xf>
    <xf numFmtId="0" fontId="5" fillId="5" borderId="43" xfId="1" applyFont="1" applyFill="1" applyBorder="1" applyAlignment="1">
      <alignment horizontal="center" vertical="center" shrinkToFit="1"/>
    </xf>
    <xf numFmtId="0" fontId="5" fillId="8" borderId="22" xfId="1" applyFont="1" applyFill="1" applyBorder="1" applyAlignment="1">
      <alignment horizontal="center" vertical="center" shrinkToFit="1"/>
    </xf>
    <xf numFmtId="0" fontId="14" fillId="5" borderId="44" xfId="1" applyFont="1" applyFill="1" applyBorder="1" applyAlignment="1">
      <alignment horizontal="center" vertical="center" shrinkToFit="1"/>
    </xf>
    <xf numFmtId="0" fontId="10" fillId="6" borderId="28" xfId="1" applyFont="1" applyFill="1" applyBorder="1" applyAlignment="1">
      <alignment horizontal="center" vertical="center" shrinkToFit="1"/>
    </xf>
    <xf numFmtId="0" fontId="5" fillId="5" borderId="45" xfId="1" applyFont="1" applyFill="1" applyBorder="1" applyAlignment="1">
      <alignment horizontal="center" vertical="center" shrinkToFit="1"/>
    </xf>
    <xf numFmtId="0" fontId="14" fillId="5" borderId="46" xfId="1" applyFont="1" applyFill="1" applyBorder="1" applyAlignment="1">
      <alignment horizontal="center" vertical="center" shrinkToFit="1"/>
    </xf>
    <xf numFmtId="0" fontId="5" fillId="0" borderId="13" xfId="1" applyFont="1" applyFill="1" applyBorder="1" applyAlignment="1">
      <alignment horizontal="center" vertical="center" shrinkToFit="1"/>
    </xf>
    <xf numFmtId="0" fontId="25" fillId="5" borderId="18" xfId="0" applyFont="1" applyFill="1" applyBorder="1" applyAlignment="1">
      <alignment horizontal="center" vertical="center" shrinkToFit="1"/>
    </xf>
    <xf numFmtId="0" fontId="12" fillId="8" borderId="19" xfId="0" applyFont="1" applyFill="1" applyBorder="1" applyAlignment="1">
      <alignment horizontal="center" vertical="center" shrinkToFit="1"/>
    </xf>
    <xf numFmtId="0" fontId="13" fillId="5" borderId="22" xfId="0" applyFont="1" applyFill="1" applyBorder="1" applyAlignment="1">
      <alignment horizontal="center" vertical="center" shrinkToFit="1"/>
    </xf>
    <xf numFmtId="0" fontId="14" fillId="5" borderId="23" xfId="1" applyFont="1" applyFill="1" applyBorder="1" applyAlignment="1">
      <alignment horizontal="center" vertical="center" shrinkToFit="1"/>
    </xf>
    <xf numFmtId="0" fontId="5" fillId="5" borderId="31" xfId="1" applyFont="1" applyFill="1" applyBorder="1" applyAlignment="1">
      <alignment horizontal="center" vertical="center" shrinkToFit="1"/>
    </xf>
    <xf numFmtId="0" fontId="0" fillId="3" borderId="0" xfId="0" applyFill="1"/>
    <xf numFmtId="0" fontId="5" fillId="3" borderId="0" xfId="1" applyFont="1" applyFill="1" applyBorder="1" applyAlignment="1">
      <alignment vertical="center" shrinkToFit="1"/>
    </xf>
    <xf numFmtId="0" fontId="5" fillId="3" borderId="51" xfId="1" applyFont="1" applyFill="1" applyBorder="1" applyAlignment="1">
      <alignment vertical="center" shrinkToFit="1"/>
    </xf>
    <xf numFmtId="0" fontId="5" fillId="3" borderId="51" xfId="1" applyFont="1" applyFill="1" applyBorder="1" applyAlignment="1">
      <alignment horizontal="center" vertical="center" shrinkToFit="1"/>
    </xf>
    <xf numFmtId="0" fontId="0" fillId="5" borderId="5" xfId="0" applyFont="1" applyFill="1" applyBorder="1" applyAlignment="1">
      <alignment horizontal="center" vertical="center" shrinkToFit="1"/>
    </xf>
    <xf numFmtId="182" fontId="13" fillId="8" borderId="6" xfId="0" applyNumberFormat="1" applyFont="1" applyFill="1" applyBorder="1" applyAlignment="1">
      <alignment horizontal="center" vertical="center" shrinkToFit="1"/>
    </xf>
    <xf numFmtId="0" fontId="0" fillId="5" borderId="18" xfId="0" applyFont="1" applyFill="1" applyBorder="1" applyAlignment="1">
      <alignment horizontal="center" vertical="center" shrinkToFit="1"/>
    </xf>
    <xf numFmtId="182" fontId="13" fillId="8" borderId="22" xfId="0" applyNumberFormat="1" applyFont="1" applyFill="1" applyBorder="1" applyAlignment="1">
      <alignment horizontal="center" vertical="center" shrinkToFit="1"/>
    </xf>
    <xf numFmtId="0" fontId="0" fillId="5" borderId="9" xfId="0" applyFont="1" applyFill="1" applyBorder="1" applyAlignment="1">
      <alignment horizontal="center" vertical="center" shrinkToFit="1"/>
    </xf>
    <xf numFmtId="0" fontId="0" fillId="5" borderId="55" xfId="0" applyFont="1" applyFill="1" applyBorder="1" applyAlignment="1">
      <alignment horizontal="center" vertical="center" shrinkToFit="1"/>
    </xf>
    <xf numFmtId="0" fontId="0" fillId="5" borderId="17" xfId="0" applyFont="1" applyFill="1" applyBorder="1" applyAlignment="1">
      <alignment horizontal="center" vertical="center" shrinkToFit="1"/>
    </xf>
    <xf numFmtId="0" fontId="0" fillId="11" borderId="56" xfId="0" applyFill="1" applyBorder="1"/>
    <xf numFmtId="0" fontId="10" fillId="5" borderId="58" xfId="1" applyFont="1" applyFill="1" applyBorder="1" applyAlignment="1">
      <alignment horizontal="center" vertical="center" shrinkToFit="1"/>
    </xf>
    <xf numFmtId="0" fontId="10" fillId="5" borderId="59" xfId="1" applyFont="1" applyFill="1" applyBorder="1" applyAlignment="1">
      <alignment horizontal="center" vertical="center" shrinkToFit="1"/>
    </xf>
    <xf numFmtId="183" fontId="0" fillId="8" borderId="34" xfId="0" applyNumberFormat="1" applyFont="1" applyFill="1" applyBorder="1" applyAlignment="1">
      <alignment horizontal="center" vertical="center" shrinkToFit="1"/>
    </xf>
    <xf numFmtId="183" fontId="0" fillId="8" borderId="60" xfId="0" applyNumberFormat="1" applyFont="1" applyFill="1" applyBorder="1" applyAlignment="1">
      <alignment horizontal="center" vertical="center" shrinkToFit="1"/>
    </xf>
    <xf numFmtId="183" fontId="0" fillId="8" borderId="61" xfId="0" applyNumberFormat="1" applyFont="1" applyFill="1" applyBorder="1" applyAlignment="1">
      <alignment horizontal="center" vertical="center" shrinkToFit="1"/>
    </xf>
    <xf numFmtId="0" fontId="30" fillId="3" borderId="26" xfId="0" applyFont="1" applyFill="1" applyBorder="1" applyAlignment="1">
      <alignment horizontal="center" vertical="center" shrinkToFit="1"/>
    </xf>
    <xf numFmtId="176" fontId="14" fillId="0" borderId="63" xfId="1" applyNumberFormat="1" applyFont="1" applyFill="1" applyBorder="1" applyAlignment="1">
      <alignment horizontal="right" vertical="center" shrinkToFit="1"/>
    </xf>
    <xf numFmtId="181" fontId="14" fillId="0" borderId="64" xfId="1" applyNumberFormat="1" applyFont="1" applyFill="1" applyBorder="1" applyAlignment="1">
      <alignment horizontal="left" vertical="center" shrinkToFit="1"/>
    </xf>
    <xf numFmtId="0" fontId="5" fillId="12" borderId="34" xfId="1" applyFont="1" applyFill="1" applyBorder="1" applyAlignment="1">
      <alignment horizontal="center" vertical="center" shrinkToFit="1"/>
    </xf>
    <xf numFmtId="0" fontId="31" fillId="5" borderId="61" xfId="1" applyFont="1" applyFill="1" applyBorder="1" applyAlignment="1">
      <alignment horizontal="center" vertical="center" shrinkToFit="1"/>
    </xf>
    <xf numFmtId="0" fontId="0" fillId="8" borderId="65" xfId="0" applyNumberFormat="1" applyFill="1" applyBorder="1" applyAlignment="1">
      <alignment horizontal="center" vertical="center" shrinkToFit="1"/>
    </xf>
    <xf numFmtId="0" fontId="5" fillId="5" borderId="66" xfId="1" applyFont="1" applyFill="1" applyBorder="1" applyAlignment="1">
      <alignment horizontal="center" vertical="center" shrinkToFit="1"/>
    </xf>
    <xf numFmtId="0" fontId="5" fillId="12" borderId="35" xfId="1" applyFont="1" applyFill="1" applyBorder="1" applyAlignment="1">
      <alignment horizontal="center" vertical="center" shrinkToFit="1"/>
    </xf>
    <xf numFmtId="0" fontId="0" fillId="8" borderId="65" xfId="0" applyNumberFormat="1" applyFont="1" applyFill="1" applyBorder="1" applyAlignment="1">
      <alignment horizontal="center" vertical="center" shrinkToFit="1"/>
    </xf>
    <xf numFmtId="176" fontId="14" fillId="0" borderId="68" xfId="1" applyNumberFormat="1" applyFont="1" applyFill="1" applyBorder="1" applyAlignment="1">
      <alignment horizontal="right" vertical="center" shrinkToFit="1"/>
    </xf>
    <xf numFmtId="181" fontId="14" fillId="0" borderId="69" xfId="1" applyNumberFormat="1" applyFont="1" applyFill="1" applyBorder="1" applyAlignment="1">
      <alignment horizontal="left" vertical="center" shrinkToFit="1"/>
    </xf>
    <xf numFmtId="0" fontId="5" fillId="5" borderId="70" xfId="1" applyFont="1" applyFill="1" applyBorder="1" applyAlignment="1">
      <alignment horizontal="center" vertical="center" shrinkToFit="1"/>
    </xf>
    <xf numFmtId="0" fontId="5" fillId="12" borderId="71" xfId="1" applyFont="1" applyFill="1" applyBorder="1" applyAlignment="1">
      <alignment horizontal="center" vertical="center" shrinkToFit="1"/>
    </xf>
    <xf numFmtId="0" fontId="0" fillId="8" borderId="72" xfId="0" applyNumberFormat="1" applyFont="1" applyFill="1" applyBorder="1" applyAlignment="1">
      <alignment horizontal="center" vertical="center" shrinkToFit="1"/>
    </xf>
    <xf numFmtId="0" fontId="0" fillId="0" borderId="0" xfId="0" applyAlignment="1">
      <alignment vertical="center" shrinkToFit="1"/>
    </xf>
    <xf numFmtId="0" fontId="0" fillId="3" borderId="0" xfId="0" applyFill="1" applyBorder="1"/>
    <xf numFmtId="0" fontId="28" fillId="3" borderId="0" xfId="0" applyFont="1" applyFill="1" applyAlignment="1">
      <alignment vertical="center"/>
    </xf>
    <xf numFmtId="0" fontId="0" fillId="5" borderId="10" xfId="0" applyFont="1" applyFill="1" applyBorder="1" applyAlignment="1">
      <alignment horizontal="center" vertical="center" shrinkToFit="1"/>
    </xf>
    <xf numFmtId="0" fontId="0" fillId="3" borderId="9" xfId="0" applyFont="1" applyFill="1" applyBorder="1" applyAlignment="1">
      <alignment horizontal="center" vertical="center" shrinkToFit="1"/>
    </xf>
    <xf numFmtId="183" fontId="0" fillId="8" borderId="12" xfId="0" applyNumberFormat="1" applyFill="1" applyBorder="1" applyAlignment="1">
      <alignment horizontal="center" vertical="center"/>
    </xf>
    <xf numFmtId="183" fontId="0" fillId="8" borderId="13" xfId="0" applyNumberFormat="1" applyFill="1" applyBorder="1" applyAlignment="1">
      <alignment horizontal="center" vertical="center"/>
    </xf>
    <xf numFmtId="183" fontId="0" fillId="8" borderId="11" xfId="0" applyNumberFormat="1" applyFill="1" applyBorder="1" applyAlignment="1">
      <alignment horizontal="center" vertical="center"/>
    </xf>
    <xf numFmtId="0" fontId="33" fillId="13" borderId="73" xfId="0" applyFont="1" applyFill="1" applyBorder="1" applyAlignment="1">
      <alignment horizontal="center" vertical="center" wrapText="1"/>
    </xf>
    <xf numFmtId="0" fontId="10" fillId="6" borderId="73" xfId="0" applyFont="1" applyFill="1" applyBorder="1" applyAlignment="1">
      <alignment horizontal="center" vertical="center" wrapText="1"/>
    </xf>
    <xf numFmtId="0" fontId="16" fillId="6" borderId="73" xfId="0" applyFont="1" applyFill="1" applyBorder="1" applyAlignment="1">
      <alignment horizontal="center" vertical="center" wrapText="1"/>
    </xf>
    <xf numFmtId="0" fontId="0" fillId="3" borderId="23" xfId="0" applyFont="1" applyFill="1" applyBorder="1" applyAlignment="1">
      <alignment horizontal="center" vertical="center" shrinkToFit="1"/>
    </xf>
    <xf numFmtId="183" fontId="0" fillId="8" borderId="23" xfId="0" applyNumberFormat="1" applyFill="1" applyBorder="1" applyAlignment="1">
      <alignment horizontal="center" vertical="center"/>
    </xf>
    <xf numFmtId="183" fontId="0" fillId="8" borderId="31" xfId="0" applyNumberFormat="1" applyFill="1" applyBorder="1" applyAlignment="1">
      <alignment horizontal="center" vertical="center"/>
    </xf>
    <xf numFmtId="183" fontId="0" fillId="8" borderId="24" xfId="0" applyNumberFormat="1" applyFill="1" applyBorder="1" applyAlignment="1">
      <alignment horizontal="center" vertical="center"/>
    </xf>
    <xf numFmtId="0" fontId="0" fillId="0" borderId="73" xfId="0" applyFont="1" applyBorder="1" applyAlignment="1">
      <alignment horizontal="center" vertical="center" wrapText="1"/>
    </xf>
    <xf numFmtId="0" fontId="5" fillId="5" borderId="12" xfId="1" applyFont="1" applyFill="1" applyBorder="1" applyAlignment="1">
      <alignment horizontal="center" vertical="center" shrinkToFit="1"/>
    </xf>
    <xf numFmtId="0" fontId="35" fillId="5" borderId="13" xfId="1" applyFont="1" applyFill="1" applyBorder="1" applyAlignment="1">
      <alignment horizontal="center" vertical="center" shrinkToFit="1"/>
    </xf>
    <xf numFmtId="0" fontId="14" fillId="5" borderId="12" xfId="1" applyFont="1" applyFill="1" applyBorder="1" applyAlignment="1">
      <alignment horizontal="center" vertical="center" shrinkToFit="1"/>
    </xf>
    <xf numFmtId="0" fontId="12" fillId="5" borderId="63" xfId="1" applyFont="1" applyFill="1" applyBorder="1" applyAlignment="1">
      <alignment horizontal="center" vertical="center" shrinkToFit="1"/>
    </xf>
    <xf numFmtId="0" fontId="5" fillId="8" borderId="11" xfId="1" applyFont="1" applyFill="1" applyBorder="1" applyAlignment="1">
      <alignment horizontal="center" vertical="center" shrinkToFit="1"/>
    </xf>
    <xf numFmtId="0" fontId="14" fillId="5" borderId="74" xfId="1" applyFont="1" applyFill="1" applyBorder="1" applyAlignment="1">
      <alignment horizontal="center" vertical="center" shrinkToFit="1"/>
    </xf>
    <xf numFmtId="0" fontId="12" fillId="5" borderId="13" xfId="1" applyFont="1" applyFill="1" applyBorder="1" applyAlignment="1">
      <alignment horizontal="center" vertical="center" shrinkToFit="1"/>
    </xf>
    <xf numFmtId="0" fontId="0" fillId="0" borderId="75" xfId="0" applyFill="1" applyBorder="1" applyAlignment="1">
      <alignment vertical="center" shrinkToFit="1"/>
    </xf>
    <xf numFmtId="0" fontId="0" fillId="0" borderId="13" xfId="0" applyFill="1" applyBorder="1" applyAlignment="1">
      <alignment vertical="center" shrinkToFit="1"/>
    </xf>
    <xf numFmtId="0" fontId="5" fillId="8" borderId="11" xfId="1" applyNumberFormat="1" applyFont="1" applyFill="1" applyBorder="1" applyAlignment="1">
      <alignment horizontal="center" vertical="center" shrinkToFit="1"/>
    </xf>
    <xf numFmtId="0" fontId="12" fillId="5" borderId="31" xfId="1" applyFont="1" applyFill="1" applyBorder="1" applyAlignment="1">
      <alignment horizontal="center" vertical="center" shrinkToFit="1"/>
    </xf>
    <xf numFmtId="0" fontId="5" fillId="0" borderId="31" xfId="1" applyFont="1" applyFill="1" applyBorder="1" applyAlignment="1">
      <alignment horizontal="center" vertical="center" shrinkToFit="1"/>
    </xf>
    <xf numFmtId="0" fontId="5" fillId="8" borderId="24" xfId="1" applyFont="1" applyFill="1" applyBorder="1" applyAlignment="1">
      <alignment horizontal="center" vertical="center" shrinkToFit="1"/>
    </xf>
    <xf numFmtId="0" fontId="10" fillId="5" borderId="13" xfId="1" applyFont="1" applyFill="1" applyBorder="1" applyAlignment="1">
      <alignment horizontal="center" vertical="center" shrinkToFit="1"/>
    </xf>
    <xf numFmtId="0" fontId="0" fillId="0" borderId="0" xfId="0" applyBorder="1" applyAlignment="1">
      <alignment vertical="center" shrinkToFit="1"/>
    </xf>
    <xf numFmtId="0" fontId="0" fillId="0" borderId="0" xfId="0" applyAlignment="1"/>
    <xf numFmtId="0" fontId="5" fillId="15" borderId="0" xfId="1" applyFont="1" applyFill="1" applyAlignment="1">
      <alignment horizontal="center" vertical="center" shrinkToFit="1"/>
    </xf>
    <xf numFmtId="0" fontId="0" fillId="15" borderId="0" xfId="0" applyFill="1" applyAlignment="1">
      <alignment vertical="center"/>
    </xf>
    <xf numFmtId="0" fontId="39" fillId="5" borderId="76" xfId="0" applyFont="1" applyFill="1" applyBorder="1" applyAlignment="1">
      <alignment horizontal="center" vertical="center"/>
    </xf>
    <xf numFmtId="0" fontId="27" fillId="5" borderId="2" xfId="0" applyFont="1" applyFill="1" applyBorder="1" applyAlignment="1">
      <alignment horizontal="center" vertical="center" shrinkToFit="1"/>
    </xf>
    <xf numFmtId="0" fontId="39" fillId="5" borderId="2" xfId="0" applyFont="1" applyFill="1" applyBorder="1" applyAlignment="1">
      <alignment horizontal="center" vertical="center"/>
    </xf>
    <xf numFmtId="0" fontId="0" fillId="7" borderId="5" xfId="0" applyFont="1" applyFill="1" applyBorder="1" applyAlignment="1">
      <alignment horizontal="center" vertical="center" shrinkToFit="1"/>
    </xf>
    <xf numFmtId="0" fontId="0" fillId="7" borderId="14" xfId="0" applyFont="1" applyFill="1" applyBorder="1" applyAlignment="1">
      <alignment horizontal="center" vertical="center" shrinkToFit="1"/>
    </xf>
    <xf numFmtId="0" fontId="0" fillId="7" borderId="6" xfId="0" applyFont="1" applyFill="1" applyBorder="1" applyAlignment="1">
      <alignment horizontal="center" vertical="center" shrinkToFit="1"/>
    </xf>
    <xf numFmtId="0" fontId="0" fillId="0" borderId="0" xfId="0" applyFont="1" applyAlignment="1">
      <alignment horizontal="left" vertical="center" indent="1" shrinkToFit="1"/>
    </xf>
    <xf numFmtId="0" fontId="0" fillId="12" borderId="0" xfId="0" applyFont="1" applyFill="1" applyAlignment="1">
      <alignment horizontal="left" vertical="center" shrinkToFit="1"/>
    </xf>
    <xf numFmtId="0" fontId="0" fillId="12" borderId="0" xfId="0" applyFont="1" applyFill="1" applyAlignment="1">
      <alignment horizontal="left" vertical="center" indent="1" shrinkToFit="1"/>
    </xf>
    <xf numFmtId="0" fontId="0" fillId="12" borderId="0" xfId="0" applyFill="1"/>
    <xf numFmtId="0" fontId="0" fillId="5" borderId="5" xfId="0" applyFont="1" applyFill="1" applyBorder="1" applyAlignment="1">
      <alignment horizontal="left" vertical="center" indent="1" shrinkToFit="1"/>
    </xf>
    <xf numFmtId="0" fontId="0" fillId="5" borderId="14" xfId="0" applyFont="1" applyFill="1" applyBorder="1" applyAlignment="1">
      <alignment horizontal="left" vertical="center" indent="1" shrinkToFit="1"/>
    </xf>
    <xf numFmtId="0" fontId="0" fillId="5" borderId="6" xfId="0" applyFont="1" applyFill="1" applyBorder="1" applyAlignment="1">
      <alignment horizontal="left" vertical="center" indent="1" shrinkToFit="1"/>
    </xf>
    <xf numFmtId="0" fontId="0" fillId="8" borderId="14" xfId="0" applyFont="1" applyFill="1" applyBorder="1" applyAlignment="1">
      <alignment horizontal="center" vertical="center" shrinkToFit="1"/>
    </xf>
    <xf numFmtId="0" fontId="0" fillId="6" borderId="6" xfId="0" applyFont="1" applyFill="1" applyBorder="1" applyAlignment="1">
      <alignment horizontal="left" vertical="center" indent="1" shrinkToFit="1"/>
    </xf>
    <xf numFmtId="0" fontId="0" fillId="8" borderId="6" xfId="0" applyFont="1" applyFill="1" applyBorder="1" applyAlignment="1">
      <alignment horizontal="center" vertical="center" shrinkToFit="1"/>
    </xf>
    <xf numFmtId="0" fontId="0" fillId="8" borderId="19" xfId="0" applyFont="1" applyFill="1" applyBorder="1" applyAlignment="1">
      <alignment horizontal="center" vertical="center" shrinkToFit="1"/>
    </xf>
    <xf numFmtId="0" fontId="0" fillId="6" borderId="22" xfId="0" applyFont="1" applyFill="1" applyBorder="1" applyAlignment="1">
      <alignment horizontal="left" vertical="center" indent="1" shrinkToFit="1"/>
    </xf>
    <xf numFmtId="0" fontId="0" fillId="7" borderId="18" xfId="0" applyFont="1" applyFill="1" applyBorder="1" applyAlignment="1">
      <alignment horizontal="center" vertical="center" shrinkToFit="1"/>
    </xf>
    <xf numFmtId="0" fontId="0" fillId="7" borderId="22" xfId="0" applyFont="1" applyFill="1" applyBorder="1" applyAlignment="1">
      <alignment horizontal="center" vertical="center" shrinkToFit="1"/>
    </xf>
    <xf numFmtId="0" fontId="0" fillId="12" borderId="0" xfId="0" applyFont="1" applyFill="1" applyAlignment="1">
      <alignment shrinkToFit="1"/>
    </xf>
    <xf numFmtId="0" fontId="33" fillId="4" borderId="1" xfId="0" applyFont="1" applyFill="1" applyBorder="1" applyAlignment="1">
      <alignment horizontal="center" vertical="center" shrinkToFit="1"/>
    </xf>
    <xf numFmtId="0" fontId="33" fillId="4" borderId="2" xfId="0" applyFont="1" applyFill="1" applyBorder="1" applyAlignment="1">
      <alignment horizontal="center" vertical="center" shrinkToFit="1"/>
    </xf>
    <xf numFmtId="0" fontId="33" fillId="4" borderId="2" xfId="0" applyFont="1" applyFill="1" applyBorder="1" applyAlignment="1">
      <alignment horizontal="center" vertical="center" indent="1" shrinkToFit="1"/>
    </xf>
    <xf numFmtId="176" fontId="0" fillId="8" borderId="78" xfId="0" applyNumberFormat="1" applyFont="1" applyFill="1" applyBorder="1" applyAlignment="1">
      <alignment horizontal="right" vertical="center" shrinkToFit="1"/>
    </xf>
    <xf numFmtId="181" fontId="0" fillId="8" borderId="79" xfId="0" applyNumberFormat="1" applyFont="1" applyFill="1" applyBorder="1" applyAlignment="1">
      <alignment horizontal="left" vertical="center" shrinkToFit="1"/>
    </xf>
    <xf numFmtId="0" fontId="0" fillId="8" borderId="22" xfId="0" applyFont="1" applyFill="1" applyBorder="1" applyAlignment="1">
      <alignment horizontal="center" vertical="center" shrinkToFit="1"/>
    </xf>
    <xf numFmtId="0" fontId="0" fillId="8" borderId="18" xfId="0" applyNumberFormat="1" applyFont="1" applyFill="1" applyBorder="1" applyAlignment="1">
      <alignment horizontal="center" vertical="center" indent="1" shrinkToFit="1"/>
    </xf>
    <xf numFmtId="0" fontId="0" fillId="8" borderId="22" xfId="0" applyFont="1" applyFill="1" applyBorder="1" applyAlignment="1">
      <alignment horizontal="center" vertical="center" indent="1" shrinkToFit="1"/>
    </xf>
    <xf numFmtId="0" fontId="10" fillId="5" borderId="14" xfId="1" applyFont="1" applyFill="1" applyBorder="1" applyAlignment="1">
      <alignment horizontal="center" vertical="center" shrinkToFit="1"/>
    </xf>
    <xf numFmtId="0" fontId="0" fillId="0" borderId="0" xfId="0" applyFont="1" applyAlignment="1">
      <alignment shrinkToFit="1"/>
    </xf>
    <xf numFmtId="0" fontId="10" fillId="6" borderId="0" xfId="1" applyFont="1" applyFill="1" applyAlignment="1">
      <alignment horizontal="left" vertical="center" shrinkToFit="1"/>
    </xf>
    <xf numFmtId="0" fontId="5" fillId="17" borderId="4" xfId="1" applyFont="1" applyFill="1" applyBorder="1" applyAlignment="1">
      <alignment horizontal="center" vertical="center" shrinkToFit="1"/>
    </xf>
    <xf numFmtId="0" fontId="27" fillId="0" borderId="0" xfId="0" applyNumberFormat="1" applyFont="1" applyBorder="1" applyAlignment="1">
      <alignment horizontal="center" vertical="center" wrapText="1" shrinkToFit="1"/>
    </xf>
    <xf numFmtId="0" fontId="30" fillId="0" borderId="80" xfId="0" applyNumberFormat="1" applyFont="1" applyBorder="1" applyAlignment="1">
      <alignment horizontal="center" vertical="center" wrapText="1" shrinkToFit="1"/>
    </xf>
    <xf numFmtId="0" fontId="5" fillId="18" borderId="4" xfId="1" applyFont="1" applyFill="1" applyBorder="1" applyAlignment="1">
      <alignment horizontal="center" vertical="center" shrinkToFit="1"/>
    </xf>
    <xf numFmtId="0" fontId="5" fillId="2" borderId="4" xfId="1" applyFont="1" applyFill="1" applyBorder="1" applyAlignment="1">
      <alignment horizontal="center" vertical="center" shrinkToFit="1"/>
    </xf>
    <xf numFmtId="0" fontId="10" fillId="0" borderId="0" xfId="1" applyFont="1" applyFill="1" applyAlignment="1">
      <alignment horizontal="left" vertical="center" shrinkToFit="1"/>
    </xf>
    <xf numFmtId="0" fontId="30" fillId="0" borderId="80" xfId="0" applyNumberFormat="1" applyFont="1" applyBorder="1" applyAlignment="1">
      <alignment horizontal="center" vertical="center" shrinkToFit="1"/>
    </xf>
    <xf numFmtId="0" fontId="51" fillId="2" borderId="88" xfId="0" applyNumberFormat="1" applyFont="1" applyFill="1" applyBorder="1" applyAlignment="1">
      <alignment horizontal="center" vertical="center" shrinkToFit="1"/>
    </xf>
    <xf numFmtId="184" fontId="30" fillId="2" borderId="89" xfId="0" applyNumberFormat="1" applyFont="1" applyFill="1" applyBorder="1" applyAlignment="1">
      <alignment horizontal="left" shrinkToFit="1"/>
    </xf>
    <xf numFmtId="0" fontId="51" fillId="8" borderId="90" xfId="0" applyNumberFormat="1" applyFont="1" applyFill="1" applyBorder="1" applyAlignment="1">
      <alignment horizontal="center" vertical="center" shrinkToFit="1"/>
    </xf>
    <xf numFmtId="184" fontId="30" fillId="8" borderId="89" xfId="0" applyNumberFormat="1" applyFont="1" applyFill="1" applyBorder="1" applyAlignment="1">
      <alignment horizontal="left" shrinkToFit="1"/>
    </xf>
    <xf numFmtId="185" fontId="30" fillId="7" borderId="90" xfId="0" applyNumberFormat="1" applyFont="1" applyFill="1" applyBorder="1" applyAlignment="1">
      <alignment horizontal="right" vertical="center" shrinkToFit="1"/>
    </xf>
    <xf numFmtId="178" fontId="51" fillId="7" borderId="91" xfId="0" applyNumberFormat="1" applyFont="1" applyFill="1" applyBorder="1" applyAlignment="1">
      <alignment horizontal="center" vertical="center" shrinkToFit="1"/>
    </xf>
    <xf numFmtId="0" fontId="30" fillId="3" borderId="94" xfId="0" applyNumberFormat="1" applyFont="1" applyFill="1" applyBorder="1" applyAlignment="1">
      <alignment horizontal="center" vertical="center" shrinkToFit="1"/>
    </xf>
    <xf numFmtId="0" fontId="30" fillId="19" borderId="94" xfId="0" applyNumberFormat="1" applyFont="1" applyFill="1" applyBorder="1" applyAlignment="1">
      <alignment horizontal="center" vertical="center" shrinkToFit="1"/>
    </xf>
    <xf numFmtId="0" fontId="30" fillId="3" borderId="39" xfId="0" applyNumberFormat="1" applyFont="1" applyFill="1" applyBorder="1" applyAlignment="1">
      <alignment horizontal="center" vertical="center" shrinkToFit="1"/>
    </xf>
    <xf numFmtId="186" fontId="51" fillId="19" borderId="39" xfId="0" applyNumberFormat="1" applyFont="1" applyFill="1" applyBorder="1" applyAlignment="1">
      <alignment horizontal="center" vertical="center" shrinkToFit="1"/>
    </xf>
    <xf numFmtId="0" fontId="47" fillId="4" borderId="9" xfId="0" applyNumberFormat="1" applyFont="1" applyFill="1" applyBorder="1" applyAlignment="1">
      <alignment horizontal="center" vertical="center" shrinkToFit="1"/>
    </xf>
    <xf numFmtId="187" fontId="30" fillId="6" borderId="10" xfId="0" applyNumberFormat="1" applyFont="1" applyFill="1" applyBorder="1" applyAlignment="1">
      <alignment horizontal="center" vertical="center" shrinkToFit="1"/>
    </xf>
    <xf numFmtId="0" fontId="47" fillId="4" borderId="10" xfId="0" applyNumberFormat="1" applyFont="1" applyFill="1" applyBorder="1" applyAlignment="1">
      <alignment horizontal="center" vertical="center" shrinkToFit="1"/>
    </xf>
    <xf numFmtId="188" fontId="30" fillId="6" borderId="10" xfId="0" applyNumberFormat="1" applyFont="1" applyFill="1" applyBorder="1" applyAlignment="1">
      <alignment horizontal="center" vertical="center" shrinkToFit="1"/>
    </xf>
    <xf numFmtId="0" fontId="30" fillId="20" borderId="9" xfId="0" applyNumberFormat="1" applyFont="1" applyFill="1" applyBorder="1" applyAlignment="1">
      <alignment horizontal="center" vertical="center" shrinkToFit="1"/>
    </xf>
    <xf numFmtId="0" fontId="30" fillId="20" borderId="10" xfId="0" applyNumberFormat="1" applyFont="1" applyFill="1" applyBorder="1" applyAlignment="1">
      <alignment horizontal="center" vertical="center" shrinkToFit="1"/>
    </xf>
    <xf numFmtId="0" fontId="30" fillId="20" borderId="17" xfId="0" applyNumberFormat="1" applyFont="1" applyFill="1" applyBorder="1" applyAlignment="1">
      <alignment horizontal="center" vertical="center" shrinkToFit="1"/>
    </xf>
    <xf numFmtId="0" fontId="47" fillId="4" borderId="12" xfId="0" applyNumberFormat="1" applyFont="1" applyFill="1" applyBorder="1" applyAlignment="1">
      <alignment horizontal="center" vertical="center" shrinkToFit="1"/>
    </xf>
    <xf numFmtId="187" fontId="30" fillId="6" borderId="13" xfId="0" applyNumberFormat="1" applyFont="1" applyFill="1" applyBorder="1" applyAlignment="1">
      <alignment horizontal="center" vertical="center" shrinkToFit="1"/>
    </xf>
    <xf numFmtId="0" fontId="47" fillId="4" borderId="13" xfId="0" applyNumberFormat="1" applyFont="1" applyFill="1" applyBorder="1" applyAlignment="1">
      <alignment horizontal="center" vertical="center" shrinkToFit="1"/>
    </xf>
    <xf numFmtId="188" fontId="30" fillId="6" borderId="13" xfId="0" applyNumberFormat="1" applyFont="1" applyFill="1" applyBorder="1" applyAlignment="1">
      <alignment horizontal="center" vertical="center" shrinkToFit="1"/>
    </xf>
    <xf numFmtId="0" fontId="30" fillId="2" borderId="95" xfId="0" applyNumberFormat="1" applyFont="1" applyFill="1" applyBorder="1" applyAlignment="1">
      <alignment horizontal="center" vertical="center" shrinkToFit="1"/>
    </xf>
    <xf numFmtId="0" fontId="30" fillId="2" borderId="96" xfId="0" applyNumberFormat="1" applyFont="1" applyFill="1" applyBorder="1" applyAlignment="1">
      <alignment horizontal="center" vertical="center" shrinkToFit="1"/>
    </xf>
    <xf numFmtId="0" fontId="30" fillId="2" borderId="97" xfId="0" applyNumberFormat="1" applyFont="1" applyFill="1" applyBorder="1" applyAlignment="1">
      <alignment horizontal="center" vertical="center" shrinkToFit="1"/>
    </xf>
    <xf numFmtId="0" fontId="30" fillId="2" borderId="89" xfId="0" applyNumberFormat="1" applyFont="1" applyFill="1" applyBorder="1" applyAlignment="1">
      <alignment horizontal="center" vertical="center" shrinkToFit="1"/>
    </xf>
    <xf numFmtId="0" fontId="49" fillId="2" borderId="96" xfId="0" applyNumberFormat="1" applyFont="1" applyFill="1" applyBorder="1" applyAlignment="1">
      <alignment horizontal="center" vertical="center" shrinkToFit="1"/>
    </xf>
    <xf numFmtId="0" fontId="0" fillId="2" borderId="96" xfId="0" applyNumberFormat="1" applyFont="1" applyFill="1" applyBorder="1" applyAlignment="1">
      <alignment horizontal="center" vertical="center" shrinkToFit="1"/>
    </xf>
    <xf numFmtId="0" fontId="0" fillId="2" borderId="97" xfId="0" applyNumberFormat="1" applyFont="1" applyFill="1" applyBorder="1" applyAlignment="1">
      <alignment horizontal="center" vertical="center" shrinkToFit="1"/>
    </xf>
    <xf numFmtId="0" fontId="30" fillId="11" borderId="12" xfId="0" applyNumberFormat="1" applyFont="1" applyFill="1" applyBorder="1" applyAlignment="1">
      <alignment horizontal="center" vertical="center" shrinkToFit="1"/>
    </xf>
    <xf numFmtId="0" fontId="30" fillId="11" borderId="13" xfId="0" applyNumberFormat="1" applyFont="1" applyFill="1" applyBorder="1" applyAlignment="1">
      <alignment horizontal="center" vertical="center" shrinkToFit="1"/>
    </xf>
    <xf numFmtId="0" fontId="30" fillId="11" borderId="11" xfId="0" applyNumberFormat="1" applyFont="1" applyFill="1" applyBorder="1" applyAlignment="1">
      <alignment horizontal="center" vertical="center" shrinkToFit="1"/>
    </xf>
    <xf numFmtId="0" fontId="0" fillId="8" borderId="75" xfId="0" applyNumberFormat="1" applyFont="1" applyFill="1" applyBorder="1" applyAlignment="1">
      <alignment horizontal="center" vertical="center" shrinkToFit="1"/>
    </xf>
    <xf numFmtId="0" fontId="49" fillId="8" borderId="13" xfId="0" applyNumberFormat="1" applyFont="1" applyFill="1" applyBorder="1" applyAlignment="1">
      <alignment horizontal="center" vertical="center" shrinkToFit="1"/>
    </xf>
    <xf numFmtId="0" fontId="0" fillId="8" borderId="13" xfId="0" applyNumberFormat="1" applyFont="1" applyFill="1" applyBorder="1" applyAlignment="1">
      <alignment horizontal="center" vertical="center" shrinkToFit="1"/>
    </xf>
    <xf numFmtId="0" fontId="0" fillId="8" borderId="11" xfId="0" applyNumberFormat="1" applyFont="1" applyFill="1" applyBorder="1" applyAlignment="1">
      <alignment horizontal="center" vertical="center" shrinkToFit="1"/>
    </xf>
    <xf numFmtId="0" fontId="30" fillId="6" borderId="13" xfId="0" applyNumberFormat="1" applyFont="1" applyFill="1" applyBorder="1" applyAlignment="1">
      <alignment horizontal="center" vertical="center" shrinkToFit="1"/>
    </xf>
    <xf numFmtId="0" fontId="30" fillId="11" borderId="56" xfId="0" applyFont="1" applyFill="1" applyBorder="1" applyAlignment="1">
      <alignment shrinkToFit="1"/>
    </xf>
    <xf numFmtId="0" fontId="49" fillId="8" borderId="12" xfId="0" applyNumberFormat="1" applyFont="1" applyFill="1" applyBorder="1" applyAlignment="1">
      <alignment horizontal="center" vertical="center" shrinkToFit="1"/>
    </xf>
    <xf numFmtId="0" fontId="30" fillId="8" borderId="13" xfId="0" applyNumberFormat="1" applyFont="1" applyFill="1" applyBorder="1" applyAlignment="1">
      <alignment horizontal="center" vertical="center" shrinkToFit="1"/>
    </xf>
    <xf numFmtId="0" fontId="30" fillId="8" borderId="11" xfId="0" applyNumberFormat="1" applyFont="1" applyFill="1" applyBorder="1" applyAlignment="1">
      <alignment horizontal="center" vertical="center" shrinkToFit="1"/>
    </xf>
    <xf numFmtId="0" fontId="23" fillId="8" borderId="75" xfId="0" applyNumberFormat="1" applyFont="1" applyFill="1" applyBorder="1" applyAlignment="1">
      <alignment horizontal="center" vertical="center" shrinkToFit="1"/>
    </xf>
    <xf numFmtId="0" fontId="30" fillId="3" borderId="11" xfId="0" applyNumberFormat="1" applyFont="1" applyFill="1" applyBorder="1" applyAlignment="1">
      <alignment horizontal="center" vertical="center" shrinkToFit="1"/>
    </xf>
    <xf numFmtId="0" fontId="30" fillId="7" borderId="12" xfId="0" applyNumberFormat="1" applyFont="1" applyFill="1" applyBorder="1" applyAlignment="1">
      <alignment horizontal="center" vertical="center" shrinkToFit="1"/>
    </xf>
    <xf numFmtId="0" fontId="30" fillId="7" borderId="13" xfId="0" applyNumberFormat="1" applyFont="1" applyFill="1" applyBorder="1" applyAlignment="1">
      <alignment horizontal="center" vertical="center" shrinkToFit="1"/>
    </xf>
    <xf numFmtId="0" fontId="30" fillId="5" borderId="11" xfId="0" applyNumberFormat="1" applyFont="1" applyFill="1" applyBorder="1" applyAlignment="1">
      <alignment horizontal="center" vertical="center" shrinkToFit="1"/>
    </xf>
    <xf numFmtId="0" fontId="30" fillId="7" borderId="98" xfId="0" applyNumberFormat="1" applyFont="1" applyFill="1" applyBorder="1" applyAlignment="1">
      <alignment horizontal="center" vertical="center" shrinkToFit="1"/>
    </xf>
    <xf numFmtId="0" fontId="49" fillId="7" borderId="31" xfId="0" applyNumberFormat="1" applyFont="1" applyFill="1" applyBorder="1" applyAlignment="1">
      <alignment horizontal="center" vertical="center" shrinkToFit="1"/>
    </xf>
    <xf numFmtId="0" fontId="0" fillId="7" borderId="31" xfId="0" applyNumberFormat="1" applyFont="1" applyFill="1" applyBorder="1" applyAlignment="1">
      <alignment horizontal="center" vertical="center" shrinkToFit="1"/>
    </xf>
    <xf numFmtId="0" fontId="0" fillId="7" borderId="24" xfId="0" applyNumberFormat="1" applyFont="1" applyFill="1" applyBorder="1" applyAlignment="1">
      <alignment horizontal="center" vertical="center" shrinkToFit="1"/>
    </xf>
    <xf numFmtId="0" fontId="47" fillId="4" borderId="10" xfId="0" applyFont="1" applyFill="1" applyBorder="1" applyAlignment="1">
      <alignment horizontal="center" shrinkToFit="1"/>
    </xf>
    <xf numFmtId="0" fontId="30" fillId="0" borderId="10" xfId="0" applyFont="1" applyBorder="1" applyAlignment="1">
      <alignment horizontal="center" shrinkToFit="1"/>
    </xf>
    <xf numFmtId="0" fontId="47" fillId="4" borderId="10" xfId="0" applyFont="1" applyFill="1" applyBorder="1" applyAlignment="1">
      <alignment horizontal="center" vertical="center" shrinkToFit="1"/>
    </xf>
    <xf numFmtId="0" fontId="30" fillId="0" borderId="17" xfId="0" applyFont="1" applyBorder="1" applyAlignment="1">
      <alignment horizontal="center" shrinkToFit="1"/>
    </xf>
    <xf numFmtId="0" fontId="47" fillId="4" borderId="31" xfId="0" applyFont="1" applyFill="1" applyBorder="1" applyAlignment="1">
      <alignment horizontal="center" shrinkToFit="1"/>
    </xf>
    <xf numFmtId="0" fontId="30" fillId="0" borderId="31" xfId="0" applyFont="1" applyBorder="1" applyAlignment="1">
      <alignment horizontal="center" shrinkToFit="1"/>
    </xf>
    <xf numFmtId="0" fontId="47" fillId="4" borderId="31" xfId="0" applyFont="1" applyFill="1" applyBorder="1" applyAlignment="1">
      <alignment horizontal="center" vertical="center" shrinkToFit="1"/>
    </xf>
    <xf numFmtId="0" fontId="30" fillId="0" borderId="24" xfId="0" applyFont="1" applyBorder="1" applyAlignment="1">
      <alignment horizontal="center" shrinkToFit="1"/>
    </xf>
    <xf numFmtId="183" fontId="5" fillId="8" borderId="36" xfId="1" applyNumberFormat="1" applyFont="1" applyFill="1" applyBorder="1" applyAlignment="1">
      <alignment horizontal="center" vertical="center" shrinkToFit="1"/>
    </xf>
    <xf numFmtId="0" fontId="5" fillId="5" borderId="23" xfId="1" applyFont="1" applyFill="1" applyBorder="1" applyAlignment="1">
      <alignment horizontal="center" vertical="center" shrinkToFit="1"/>
    </xf>
    <xf numFmtId="183" fontId="5" fillId="8" borderId="41" xfId="1" applyNumberFormat="1" applyFont="1" applyFill="1" applyBorder="1" applyAlignment="1">
      <alignment horizontal="center" vertical="center" shrinkToFit="1"/>
    </xf>
    <xf numFmtId="0" fontId="15" fillId="4" borderId="3" xfId="1" applyFont="1" applyFill="1" applyBorder="1" applyAlignment="1">
      <alignment horizontal="center" vertical="center" shrinkToFit="1"/>
    </xf>
    <xf numFmtId="0" fontId="33" fillId="13" borderId="73" xfId="0" applyFont="1" applyFill="1" applyBorder="1" applyAlignment="1">
      <alignment horizontal="center" vertical="center" wrapText="1"/>
    </xf>
    <xf numFmtId="0" fontId="36" fillId="14" borderId="4" xfId="0" applyFont="1" applyFill="1" applyBorder="1" applyAlignment="1">
      <alignment horizontal="center" vertical="center"/>
    </xf>
    <xf numFmtId="0" fontId="24" fillId="6" borderId="37" xfId="1" applyFont="1" applyFill="1" applyBorder="1" applyAlignment="1">
      <alignment horizontal="left" vertical="center" wrapText="1" indent="1" shrinkToFit="1"/>
    </xf>
    <xf numFmtId="0" fontId="5" fillId="5" borderId="26" xfId="1" applyFont="1" applyFill="1" applyBorder="1" applyAlignment="1">
      <alignment horizontal="center" vertical="center" shrinkToFit="1"/>
    </xf>
    <xf numFmtId="0" fontId="5" fillId="5" borderId="12" xfId="1" applyFont="1" applyFill="1" applyBorder="1" applyAlignment="1">
      <alignment horizontal="center" vertical="center" shrinkToFit="1"/>
    </xf>
    <xf numFmtId="0" fontId="5" fillId="5" borderId="36" xfId="1" applyFont="1" applyFill="1" applyBorder="1" applyAlignment="1">
      <alignment horizontal="center" vertical="center" shrinkToFit="1"/>
    </xf>
    <xf numFmtId="0" fontId="34" fillId="6" borderId="73" xfId="0" applyFont="1" applyFill="1" applyBorder="1" applyAlignment="1">
      <alignment horizontal="center" vertical="center" wrapText="1"/>
    </xf>
    <xf numFmtId="0" fontId="14" fillId="7" borderId="5" xfId="1" applyFont="1" applyFill="1" applyBorder="1" applyAlignment="1">
      <alignment horizontal="center" vertical="center" shrinkToFit="1"/>
    </xf>
    <xf numFmtId="0" fontId="14" fillId="8" borderId="6" xfId="1" applyFont="1" applyFill="1" applyBorder="1" applyAlignment="1">
      <alignment horizontal="center" vertical="center" shrinkToFit="1"/>
    </xf>
    <xf numFmtId="0" fontId="14" fillId="0" borderId="6" xfId="0" applyFont="1" applyFill="1" applyBorder="1" applyAlignment="1">
      <alignment horizontal="center" vertical="center" shrinkToFit="1"/>
    </xf>
    <xf numFmtId="0" fontId="29" fillId="8" borderId="22" xfId="1" applyFont="1" applyFill="1" applyBorder="1" applyAlignment="1">
      <alignment horizontal="center" vertical="center" shrinkToFit="1"/>
    </xf>
    <xf numFmtId="0" fontId="14" fillId="0" borderId="6" xfId="1" applyFont="1" applyFill="1" applyBorder="1" applyAlignment="1">
      <alignment horizontal="center" vertical="center" shrinkToFit="1"/>
    </xf>
    <xf numFmtId="0" fontId="35" fillId="5" borderId="13" xfId="1" applyFont="1" applyFill="1" applyBorder="1" applyAlignment="1">
      <alignment horizontal="center" vertical="center" shrinkToFit="1"/>
    </xf>
    <xf numFmtId="0" fontId="2" fillId="11" borderId="73" xfId="0" applyFont="1" applyFill="1" applyBorder="1" applyAlignment="1">
      <alignment horizontal="center" vertical="center" wrapText="1"/>
    </xf>
    <xf numFmtId="0" fontId="32" fillId="6" borderId="73" xfId="0" applyFont="1" applyFill="1" applyBorder="1" applyAlignment="1">
      <alignment horizontal="center" vertical="center" wrapText="1"/>
    </xf>
    <xf numFmtId="0" fontId="12" fillId="0" borderId="41" xfId="0" applyFont="1" applyFill="1" applyBorder="1" applyAlignment="1">
      <alignment horizontal="center" vertical="center" shrinkToFit="1"/>
    </xf>
    <xf numFmtId="0" fontId="14" fillId="0" borderId="24" xfId="1" applyFont="1" applyFill="1" applyBorder="1" applyAlignment="1">
      <alignment horizontal="left" vertical="center" indent="1" shrinkToFit="1"/>
    </xf>
    <xf numFmtId="0" fontId="5" fillId="5" borderId="47" xfId="1" applyFont="1" applyFill="1" applyBorder="1" applyAlignment="1">
      <alignment horizontal="center" vertical="center" shrinkToFit="1"/>
    </xf>
    <xf numFmtId="0" fontId="0" fillId="5" borderId="26" xfId="0" applyFont="1" applyFill="1" applyBorder="1" applyAlignment="1">
      <alignment horizontal="center" vertical="center" shrinkToFit="1"/>
    </xf>
    <xf numFmtId="0" fontId="14" fillId="0" borderId="11" xfId="1" applyFont="1" applyFill="1" applyBorder="1" applyAlignment="1">
      <alignment horizontal="left" vertical="center" indent="1" shrinkToFit="1"/>
    </xf>
    <xf numFmtId="0" fontId="14" fillId="5" borderId="67" xfId="1" applyFont="1" applyFill="1" applyBorder="1" applyAlignment="1">
      <alignment horizontal="center" vertical="center" shrinkToFit="1"/>
    </xf>
    <xf numFmtId="0" fontId="12" fillId="0" borderId="36" xfId="0" applyFont="1" applyFill="1" applyBorder="1" applyAlignment="1">
      <alignment horizontal="center" vertical="center" shrinkToFit="1"/>
    </xf>
    <xf numFmtId="0" fontId="17" fillId="5" borderId="5" xfId="1" applyFont="1" applyFill="1" applyBorder="1" applyAlignment="1">
      <alignment horizontal="center" vertical="center" shrinkToFit="1"/>
    </xf>
    <xf numFmtId="0" fontId="17" fillId="5" borderId="6" xfId="1" applyFont="1" applyFill="1" applyBorder="1" applyAlignment="1">
      <alignment horizontal="center" vertical="center" shrinkToFit="1"/>
    </xf>
    <xf numFmtId="0" fontId="20" fillId="6" borderId="47" xfId="1" applyFont="1" applyFill="1" applyBorder="1" applyAlignment="1">
      <alignment horizontal="center" vertical="center" shrinkToFit="1"/>
    </xf>
    <xf numFmtId="0" fontId="14" fillId="5" borderId="62" xfId="1" applyFont="1" applyFill="1" applyBorder="1" applyAlignment="1">
      <alignment horizontal="center" vertical="center" shrinkToFit="1"/>
    </xf>
    <xf numFmtId="0" fontId="0" fillId="3" borderId="0" xfId="0" applyFont="1" applyFill="1" applyBorder="1" applyAlignment="1">
      <alignment horizontal="center" vertical="center"/>
    </xf>
    <xf numFmtId="0" fontId="5" fillId="11" borderId="57" xfId="1" applyFont="1" applyFill="1" applyBorder="1" applyAlignment="1">
      <alignment horizontal="center" vertical="center" shrinkToFit="1"/>
    </xf>
    <xf numFmtId="0" fontId="15" fillId="4" borderId="3" xfId="0" applyFont="1" applyFill="1" applyBorder="1" applyAlignment="1">
      <alignment horizontal="center" vertical="center" shrinkToFit="1"/>
    </xf>
    <xf numFmtId="0" fontId="0" fillId="5" borderId="5" xfId="0" applyFont="1" applyFill="1" applyBorder="1" applyAlignment="1">
      <alignment horizontal="center" vertical="center" shrinkToFit="1"/>
    </xf>
    <xf numFmtId="0" fontId="0" fillId="5" borderId="54" xfId="0" applyFont="1" applyFill="1" applyBorder="1" applyAlignment="1">
      <alignment horizontal="center" vertical="center" shrinkToFit="1"/>
    </xf>
    <xf numFmtId="0" fontId="0" fillId="5" borderId="4" xfId="0" applyFont="1" applyFill="1" applyBorder="1" applyAlignment="1">
      <alignment horizontal="center" vertical="center" shrinkToFit="1"/>
    </xf>
    <xf numFmtId="0" fontId="0" fillId="5" borderId="18" xfId="0" applyFont="1" applyFill="1" applyBorder="1" applyAlignment="1">
      <alignment horizontal="center" vertical="center" shrinkToFit="1"/>
    </xf>
    <xf numFmtId="0" fontId="5" fillId="5" borderId="18" xfId="1" applyFont="1" applyFill="1" applyBorder="1" applyAlignment="1">
      <alignment horizontal="center" vertical="center" shrinkToFit="1"/>
    </xf>
    <xf numFmtId="0" fontId="8" fillId="8" borderId="52" xfId="1" applyNumberFormat="1" applyFont="1" applyFill="1" applyBorder="1" applyAlignment="1">
      <alignment horizontal="center" vertical="center" shrinkToFit="1"/>
    </xf>
    <xf numFmtId="180" fontId="12" fillId="8" borderId="53" xfId="1" applyNumberFormat="1" applyFont="1" applyFill="1" applyBorder="1" applyAlignment="1">
      <alignment horizontal="left" vertical="center" shrinkToFit="1"/>
    </xf>
    <xf numFmtId="176" fontId="8" fillId="8" borderId="52" xfId="1" applyNumberFormat="1" applyFont="1" applyFill="1" applyBorder="1" applyAlignment="1">
      <alignment horizontal="right" vertical="center" shrinkToFit="1"/>
    </xf>
    <xf numFmtId="181" fontId="8" fillId="8" borderId="53" xfId="1" applyNumberFormat="1" applyFont="1" applyFill="1" applyBorder="1" applyAlignment="1">
      <alignment horizontal="left" vertical="center" shrinkToFit="1"/>
    </xf>
    <xf numFmtId="179" fontId="13" fillId="8" borderId="37" xfId="0" applyNumberFormat="1" applyFont="1" applyFill="1" applyBorder="1" applyAlignment="1">
      <alignment horizontal="center" vertical="center" shrinkToFit="1"/>
    </xf>
    <xf numFmtId="0" fontId="27" fillId="5" borderId="4" xfId="0" applyFont="1" applyFill="1" applyBorder="1" applyAlignment="1">
      <alignment horizontal="center" vertical="center" wrapText="1" shrinkToFit="1"/>
    </xf>
    <xf numFmtId="0" fontId="29" fillId="0" borderId="11" xfId="1" applyFont="1" applyFill="1" applyBorder="1" applyAlignment="1">
      <alignment horizontal="left" vertical="center" indent="1" shrinkToFit="1"/>
    </xf>
    <xf numFmtId="0" fontId="2" fillId="5" borderId="3" xfId="0" applyFont="1" applyFill="1" applyBorder="1" applyAlignment="1">
      <alignment horizontal="center" vertical="center" shrinkToFit="1"/>
    </xf>
    <xf numFmtId="0" fontId="5" fillId="5" borderId="5" xfId="1" applyFont="1" applyFill="1" applyBorder="1" applyAlignment="1">
      <alignment horizontal="center" vertical="center" shrinkToFit="1"/>
    </xf>
    <xf numFmtId="0" fontId="8" fillId="8" borderId="49" xfId="1" applyNumberFormat="1" applyFont="1" applyFill="1" applyBorder="1" applyAlignment="1">
      <alignment horizontal="center" vertical="center" shrinkToFit="1"/>
    </xf>
    <xf numFmtId="180" fontId="12" fillId="8" borderId="50" xfId="1" applyNumberFormat="1" applyFont="1" applyFill="1" applyBorder="1" applyAlignment="1">
      <alignment horizontal="left" vertical="center" shrinkToFit="1"/>
    </xf>
    <xf numFmtId="176" fontId="8" fillId="8" borderId="49" xfId="1" applyNumberFormat="1" applyFont="1" applyFill="1" applyBorder="1" applyAlignment="1">
      <alignment horizontal="right" vertical="center" shrinkToFit="1"/>
    </xf>
    <xf numFmtId="181" fontId="8" fillId="8" borderId="50" xfId="1" applyNumberFormat="1" applyFont="1" applyFill="1" applyBorder="1" applyAlignment="1">
      <alignment horizontal="left" vertical="center" shrinkToFit="1"/>
    </xf>
    <xf numFmtId="179" fontId="13" fillId="8" borderId="47" xfId="0" applyNumberFormat="1" applyFont="1" applyFill="1" applyBorder="1" applyAlignment="1">
      <alignment horizontal="center" vertical="center" shrinkToFit="1"/>
    </xf>
    <xf numFmtId="0" fontId="12" fillId="0" borderId="26" xfId="0" applyFont="1" applyFill="1" applyBorder="1" applyAlignment="1">
      <alignment horizontal="center" vertical="center" shrinkToFit="1"/>
    </xf>
    <xf numFmtId="0" fontId="14" fillId="0" borderId="17" xfId="1" applyFont="1" applyFill="1" applyBorder="1" applyAlignment="1">
      <alignment horizontal="left" vertical="center" indent="1" shrinkToFit="1"/>
    </xf>
    <xf numFmtId="0" fontId="12" fillId="0" borderId="4" xfId="0" applyFont="1" applyFill="1" applyBorder="1" applyAlignment="1">
      <alignment horizontal="center" vertical="center" shrinkToFit="1"/>
    </xf>
    <xf numFmtId="0" fontId="5" fillId="0" borderId="4" xfId="1" applyFont="1" applyFill="1" applyBorder="1" applyAlignment="1">
      <alignment horizontal="center" vertical="center" shrinkToFit="1"/>
    </xf>
    <xf numFmtId="0" fontId="5" fillId="0" borderId="48" xfId="1" applyFont="1" applyFill="1" applyBorder="1" applyAlignment="1">
      <alignment horizontal="center" vertical="center" shrinkToFit="1"/>
    </xf>
    <xf numFmtId="0" fontId="8" fillId="8" borderId="6" xfId="1" applyFont="1" applyFill="1" applyBorder="1" applyAlignment="1">
      <alignment horizontal="center" vertical="center" shrinkToFit="1"/>
    </xf>
    <xf numFmtId="0" fontId="5" fillId="5" borderId="1" xfId="1" applyFont="1" applyFill="1" applyBorder="1" applyAlignment="1">
      <alignment horizontal="center" vertical="center" shrinkToFit="1"/>
    </xf>
    <xf numFmtId="0" fontId="8" fillId="8" borderId="2" xfId="1" applyFont="1" applyFill="1" applyBorder="1" applyAlignment="1">
      <alignment horizontal="center" vertical="center" shrinkToFit="1"/>
    </xf>
    <xf numFmtId="0" fontId="8" fillId="8" borderId="22" xfId="1" applyFont="1" applyFill="1" applyBorder="1" applyAlignment="1">
      <alignment horizontal="center" vertical="center" shrinkToFit="1"/>
    </xf>
    <xf numFmtId="0" fontId="14" fillId="0" borderId="11" xfId="1" applyFont="1" applyFill="1" applyBorder="1" applyAlignment="1">
      <alignment horizontal="center" vertical="center" shrinkToFit="1"/>
    </xf>
    <xf numFmtId="0" fontId="14" fillId="5" borderId="18" xfId="1" applyFont="1" applyFill="1" applyBorder="1" applyAlignment="1">
      <alignment horizontal="center" vertical="center" shrinkToFit="1"/>
    </xf>
    <xf numFmtId="0" fontId="11" fillId="0" borderId="23" xfId="1" applyFont="1" applyFill="1" applyBorder="1" applyAlignment="1">
      <alignment horizontal="center" vertical="center" shrinkToFit="1"/>
    </xf>
    <xf numFmtId="0" fontId="14" fillId="0" borderId="31" xfId="1" applyFont="1" applyFill="1" applyBorder="1" applyAlignment="1">
      <alignment horizontal="center" vertical="center" shrinkToFit="1"/>
    </xf>
    <xf numFmtId="0" fontId="14" fillId="0" borderId="24" xfId="1" applyFont="1" applyFill="1" applyBorder="1" applyAlignment="1">
      <alignment horizontal="center" vertical="center" shrinkToFit="1"/>
    </xf>
    <xf numFmtId="178" fontId="8" fillId="8" borderId="6" xfId="1" applyNumberFormat="1" applyFont="1" applyFill="1" applyBorder="1" applyAlignment="1">
      <alignment horizontal="center" vertical="center" shrinkToFit="1"/>
    </xf>
    <xf numFmtId="0" fontId="14" fillId="5" borderId="5" xfId="1" applyFont="1" applyFill="1" applyBorder="1" applyAlignment="1">
      <alignment horizontal="center" vertical="center" shrinkToFit="1"/>
    </xf>
    <xf numFmtId="0" fontId="11" fillId="0" borderId="12" xfId="1" applyFont="1" applyFill="1" applyBorder="1" applyAlignment="1">
      <alignment horizontal="center" vertical="center" shrinkToFit="1"/>
    </xf>
    <xf numFmtId="0" fontId="12" fillId="0" borderId="13" xfId="1" applyFont="1" applyFill="1" applyBorder="1" applyAlignment="1">
      <alignment horizontal="center" vertical="center" shrinkToFit="1"/>
    </xf>
    <xf numFmtId="0" fontId="5" fillId="5" borderId="9" xfId="1" applyFont="1" applyFill="1" applyBorder="1" applyAlignment="1">
      <alignment horizontal="center" vertical="center" shrinkToFit="1"/>
    </xf>
    <xf numFmtId="0" fontId="14" fillId="0" borderId="13" xfId="1" applyFont="1" applyFill="1" applyBorder="1" applyAlignment="1">
      <alignment horizontal="center" vertical="center" shrinkToFit="1"/>
    </xf>
    <xf numFmtId="0" fontId="11" fillId="0" borderId="9" xfId="1" applyFont="1" applyFill="1" applyBorder="1" applyAlignment="1">
      <alignment horizontal="center" vertical="center" shrinkToFit="1"/>
    </xf>
    <xf numFmtId="0" fontId="12" fillId="0" borderId="10" xfId="1" applyFont="1" applyFill="1" applyBorder="1" applyAlignment="1">
      <alignment horizontal="center" vertical="center" shrinkToFit="1"/>
    </xf>
    <xf numFmtId="0" fontId="14" fillId="0" borderId="17" xfId="1" applyFont="1" applyFill="1" applyBorder="1" applyAlignment="1">
      <alignment horizontal="center" vertical="center" shrinkToFit="1"/>
    </xf>
    <xf numFmtId="0" fontId="5" fillId="6" borderId="4" xfId="1" applyFont="1" applyFill="1" applyBorder="1" applyAlignment="1">
      <alignment horizontal="center" vertical="center" shrinkToFit="1"/>
    </xf>
    <xf numFmtId="0" fontId="19" fillId="4" borderId="32" xfId="1" applyFont="1" applyFill="1" applyBorder="1" applyAlignment="1">
      <alignment horizontal="center" vertical="center" shrinkToFit="1"/>
    </xf>
    <xf numFmtId="0" fontId="20" fillId="7" borderId="20" xfId="1" applyFont="1" applyFill="1" applyBorder="1" applyAlignment="1">
      <alignment horizontal="center" vertical="center" shrinkToFit="1"/>
    </xf>
    <xf numFmtId="0" fontId="19" fillId="4" borderId="20" xfId="1" applyFont="1" applyFill="1" applyBorder="1" applyAlignment="1">
      <alignment horizontal="center" vertical="center" shrinkToFit="1"/>
    </xf>
    <xf numFmtId="0" fontId="20" fillId="7" borderId="21" xfId="1" applyFont="1" applyFill="1" applyBorder="1" applyAlignment="1">
      <alignment horizontal="center" vertical="center" shrinkToFit="1"/>
    </xf>
    <xf numFmtId="0" fontId="5" fillId="6" borderId="13" xfId="1" applyFont="1" applyFill="1" applyBorder="1" applyAlignment="1">
      <alignment horizontal="center" vertical="center" shrinkToFit="1"/>
    </xf>
    <xf numFmtId="0" fontId="0" fillId="0" borderId="37" xfId="0" applyFill="1" applyBorder="1" applyAlignment="1">
      <alignment horizontal="right" vertical="center" shrinkToFit="1"/>
    </xf>
    <xf numFmtId="0" fontId="6" fillId="4" borderId="1" xfId="0" applyFont="1" applyFill="1" applyBorder="1" applyAlignment="1">
      <alignment horizontal="center" vertical="center" shrinkToFit="1"/>
    </xf>
    <xf numFmtId="0" fontId="5" fillId="6" borderId="31" xfId="1" applyFont="1" applyFill="1" applyBorder="1" applyAlignment="1">
      <alignment horizontal="center" vertical="center" shrinkToFit="1"/>
    </xf>
    <xf numFmtId="0" fontId="12" fillId="0" borderId="11" xfId="1" applyFont="1" applyFill="1" applyBorder="1" applyAlignment="1">
      <alignment horizontal="center" vertical="center" shrinkToFit="1"/>
    </xf>
    <xf numFmtId="0" fontId="13" fillId="9" borderId="0" xfId="0" applyFont="1" applyFill="1" applyBorder="1" applyAlignment="1">
      <alignment horizontal="center" vertical="center" wrapText="1" shrinkToFit="1"/>
    </xf>
    <xf numFmtId="0" fontId="26" fillId="10" borderId="0" xfId="0" applyFont="1" applyFill="1" applyBorder="1" applyAlignment="1">
      <alignment horizontal="center" vertical="center" wrapText="1" shrinkToFit="1"/>
    </xf>
    <xf numFmtId="0" fontId="20" fillId="7" borderId="33" xfId="1" applyFont="1" applyFill="1" applyBorder="1" applyAlignment="1">
      <alignment horizontal="center" vertical="center" shrinkToFit="1"/>
    </xf>
    <xf numFmtId="0" fontId="21" fillId="7" borderId="33" xfId="1" applyFont="1" applyFill="1" applyBorder="1" applyAlignment="1">
      <alignment horizontal="center" vertical="center" shrinkToFit="1"/>
    </xf>
    <xf numFmtId="0" fontId="5" fillId="5" borderId="18" xfId="0" applyFont="1" applyFill="1" applyBorder="1" applyAlignment="1">
      <alignment horizontal="center" vertical="center" shrinkToFit="1"/>
    </xf>
    <xf numFmtId="0" fontId="11" fillId="7" borderId="14" xfId="1" applyFont="1" applyFill="1" applyBorder="1" applyAlignment="1">
      <alignment horizontal="center" vertical="center" shrinkToFit="1"/>
    </xf>
    <xf numFmtId="0" fontId="5" fillId="5" borderId="14" xfId="1" applyFont="1" applyFill="1" applyBorder="1" applyAlignment="1">
      <alignment horizontal="center" vertical="center" shrinkToFit="1"/>
    </xf>
    <xf numFmtId="0" fontId="11" fillId="7" borderId="6" xfId="0" applyFont="1" applyFill="1" applyBorder="1" applyAlignment="1">
      <alignment horizontal="center" vertical="center" shrinkToFit="1"/>
    </xf>
    <xf numFmtId="0" fontId="11" fillId="7" borderId="19" xfId="1" applyFont="1" applyFill="1" applyBorder="1" applyAlignment="1">
      <alignment horizontal="center" vertical="center" shrinkToFit="1"/>
    </xf>
    <xf numFmtId="0" fontId="5" fillId="5" borderId="19" xfId="1" applyFont="1" applyFill="1" applyBorder="1" applyAlignment="1">
      <alignment horizontal="center" vertical="center" shrinkToFit="1"/>
    </xf>
    <xf numFmtId="0" fontId="11" fillId="7" borderId="22" xfId="0" applyFont="1" applyFill="1" applyBorder="1" applyAlignment="1">
      <alignment horizontal="center" vertical="center" shrinkToFit="1"/>
    </xf>
    <xf numFmtId="0" fontId="12" fillId="5" borderId="12" xfId="0" applyFont="1" applyFill="1" applyBorder="1" applyAlignment="1">
      <alignment horizontal="center" vertical="center" shrinkToFit="1"/>
    </xf>
    <xf numFmtId="0" fontId="10" fillId="7" borderId="22" xfId="1" applyFont="1" applyFill="1" applyBorder="1" applyAlignment="1">
      <alignment horizontal="center" vertical="center" shrinkToFit="1"/>
    </xf>
    <xf numFmtId="0" fontId="16" fillId="7" borderId="23" xfId="0" applyFont="1" applyFill="1" applyBorder="1" applyAlignment="1">
      <alignment horizontal="center" vertical="center" shrinkToFit="1"/>
    </xf>
    <xf numFmtId="0" fontId="16" fillId="7" borderId="24" xfId="0" applyFont="1" applyFill="1" applyBorder="1" applyAlignment="1">
      <alignment horizontal="center" vertical="center" shrinkToFit="1"/>
    </xf>
    <xf numFmtId="0" fontId="14" fillId="5" borderId="25" xfId="1" applyFont="1" applyFill="1" applyBorder="1" applyAlignment="1">
      <alignment horizontal="center" vertical="center" shrinkToFit="1"/>
    </xf>
    <xf numFmtId="0" fontId="12" fillId="5" borderId="23" xfId="0" applyFont="1" applyFill="1" applyBorder="1" applyAlignment="1">
      <alignment horizontal="center" vertical="center" shrinkToFit="1"/>
    </xf>
    <xf numFmtId="0" fontId="5" fillId="6" borderId="19" xfId="1" applyFont="1" applyFill="1" applyBorder="1" applyAlignment="1">
      <alignment horizontal="center" vertical="center" shrinkToFit="1"/>
    </xf>
    <xf numFmtId="0" fontId="10" fillId="7" borderId="6" xfId="1" applyFont="1" applyFill="1" applyBorder="1" applyAlignment="1">
      <alignment horizontal="center" vertical="center" shrinkToFit="1"/>
    </xf>
    <xf numFmtId="0" fontId="16" fillId="7" borderId="12" xfId="0" applyFont="1" applyFill="1" applyBorder="1" applyAlignment="1">
      <alignment horizontal="center" vertical="center" shrinkToFit="1"/>
    </xf>
    <xf numFmtId="0" fontId="16" fillId="7" borderId="11" xfId="0" applyFont="1" applyFill="1" applyBorder="1" applyAlignment="1">
      <alignment horizontal="center" vertical="center" shrinkToFit="1"/>
    </xf>
    <xf numFmtId="0" fontId="14" fillId="5" borderId="7" xfId="1" applyFont="1" applyFill="1" applyBorder="1" applyAlignment="1">
      <alignment horizontal="center" vertical="center" shrinkToFit="1"/>
    </xf>
    <xf numFmtId="0" fontId="14" fillId="8" borderId="20" xfId="1" applyFont="1" applyFill="1" applyBorder="1" applyAlignment="1">
      <alignment horizontal="center" vertical="center" shrinkToFit="1"/>
    </xf>
    <xf numFmtId="0" fontId="13" fillId="8" borderId="21" xfId="1" applyFont="1" applyFill="1" applyBorder="1" applyAlignment="1">
      <alignment horizontal="center" vertical="center" shrinkToFit="1"/>
    </xf>
    <xf numFmtId="177" fontId="11" fillId="7" borderId="16" xfId="1" applyNumberFormat="1" applyFont="1" applyFill="1" applyBorder="1" applyAlignment="1">
      <alignment horizontal="center" vertical="center" shrinkToFit="1"/>
    </xf>
    <xf numFmtId="0" fontId="14" fillId="0" borderId="5" xfId="1" applyFont="1" applyFill="1" applyBorder="1" applyAlignment="1">
      <alignment horizontal="center" vertical="center" shrinkToFit="1"/>
    </xf>
    <xf numFmtId="0" fontId="14" fillId="0" borderId="14" xfId="1" applyFont="1" applyFill="1" applyBorder="1" applyAlignment="1">
      <alignment horizontal="center" vertical="center" shrinkToFit="1"/>
    </xf>
    <xf numFmtId="0" fontId="14" fillId="0" borderId="14" xfId="1" applyNumberFormat="1" applyFont="1" applyFill="1" applyBorder="1" applyAlignment="1">
      <alignment horizontal="center" vertical="center" shrinkToFit="1"/>
    </xf>
    <xf numFmtId="0" fontId="14" fillId="7" borderId="14" xfId="1" applyFont="1" applyFill="1" applyBorder="1" applyAlignment="1">
      <alignment horizontal="center" vertical="center" shrinkToFit="1"/>
    </xf>
    <xf numFmtId="0" fontId="11" fillId="7" borderId="6" xfId="1" applyFont="1" applyFill="1" applyBorder="1" applyAlignment="1">
      <alignment horizontal="center" vertical="center" shrinkToFit="1"/>
    </xf>
    <xf numFmtId="0" fontId="10" fillId="5" borderId="9" xfId="1" applyFont="1" applyFill="1" applyBorder="1" applyAlignment="1">
      <alignment horizontal="center" vertical="center" shrinkToFit="1"/>
    </xf>
    <xf numFmtId="0" fontId="16" fillId="7" borderId="17" xfId="0" applyFont="1" applyFill="1" applyBorder="1" applyAlignment="1">
      <alignment horizontal="center" vertical="center" shrinkToFit="1"/>
    </xf>
    <xf numFmtId="0" fontId="14" fillId="5" borderId="14" xfId="1" applyFont="1" applyFill="1" applyBorder="1" applyAlignment="1">
      <alignment horizontal="center" vertical="center" shrinkToFit="1"/>
    </xf>
    <xf numFmtId="0" fontId="15" fillId="4" borderId="6" xfId="1" applyFont="1" applyFill="1" applyBorder="1" applyAlignment="1">
      <alignment horizontal="center" vertical="center" shrinkToFit="1"/>
    </xf>
    <xf numFmtId="0" fontId="10" fillId="5" borderId="15" xfId="1" applyFont="1" applyFill="1" applyBorder="1" applyAlignment="1">
      <alignment horizontal="center" vertical="center" shrinkToFit="1"/>
    </xf>
    <xf numFmtId="0" fontId="17" fillId="3" borderId="0" xfId="1" applyFont="1" applyFill="1" applyBorder="1" applyAlignment="1">
      <alignment horizontal="center" vertical="center" shrinkToFit="1"/>
    </xf>
    <xf numFmtId="0" fontId="0" fillId="5" borderId="7" xfId="0" applyFont="1" applyFill="1" applyBorder="1" applyAlignment="1">
      <alignment horizontal="center" vertical="center" shrinkToFit="1"/>
    </xf>
    <xf numFmtId="0" fontId="10" fillId="5" borderId="5" xfId="1" applyFont="1" applyFill="1" applyBorder="1" applyAlignment="1">
      <alignment horizontal="center" vertical="center" shrinkToFit="1"/>
    </xf>
    <xf numFmtId="176" fontId="11" fillId="7" borderId="6" xfId="1" applyNumberFormat="1" applyFont="1" applyFill="1" applyBorder="1" applyAlignment="1">
      <alignment horizontal="center" vertical="center" shrinkToFit="1"/>
    </xf>
    <xf numFmtId="0" fontId="12" fillId="5" borderId="9" xfId="0" applyFont="1" applyFill="1" applyBorder="1" applyAlignment="1">
      <alignment horizontal="center" vertical="center" shrinkToFit="1"/>
    </xf>
    <xf numFmtId="0" fontId="6" fillId="4" borderId="1" xfId="1" applyFont="1" applyFill="1" applyBorder="1" applyAlignment="1">
      <alignment horizontal="center" vertical="center" shrinkToFit="1"/>
    </xf>
    <xf numFmtId="0" fontId="6" fillId="4" borderId="2" xfId="1" applyFont="1" applyFill="1" applyBorder="1" applyAlignment="1">
      <alignment horizontal="center" vertical="center" shrinkToFit="1"/>
    </xf>
    <xf numFmtId="0" fontId="7" fillId="0" borderId="4" xfId="1" applyFont="1" applyFill="1" applyBorder="1" applyAlignment="1">
      <alignment horizontal="center" vertical="center" shrinkToFit="1"/>
    </xf>
    <xf numFmtId="0" fontId="8" fillId="6" borderId="5" xfId="1" applyFont="1" applyFill="1" applyBorder="1" applyAlignment="1">
      <alignment horizontal="center" vertical="center" shrinkToFit="1"/>
    </xf>
    <xf numFmtId="0" fontId="5" fillId="6" borderId="6" xfId="1" applyFont="1" applyFill="1" applyBorder="1" applyAlignment="1">
      <alignment horizontal="center" vertical="center" shrinkToFit="1"/>
    </xf>
    <xf numFmtId="0" fontId="9" fillId="5" borderId="5" xfId="1" applyFont="1" applyFill="1" applyBorder="1" applyAlignment="1">
      <alignment horizontal="center" vertical="center" shrinkToFit="1"/>
    </xf>
    <xf numFmtId="0" fontId="10" fillId="7" borderId="6" xfId="0" applyFont="1" applyFill="1" applyBorder="1" applyAlignment="1">
      <alignment horizontal="center" vertical="center" shrinkToFit="1"/>
    </xf>
    <xf numFmtId="0" fontId="13" fillId="6" borderId="77" xfId="0" applyFont="1" applyFill="1" applyBorder="1" applyAlignment="1">
      <alignment horizontal="left" vertical="center" wrapText="1" indent="1" shrinkToFit="1"/>
    </xf>
    <xf numFmtId="0" fontId="44" fillId="16" borderId="72" xfId="0" applyFont="1" applyFill="1" applyBorder="1" applyAlignment="1">
      <alignment horizontal="left" vertical="center" wrapText="1" indent="1" shrinkToFit="1"/>
    </xf>
    <xf numFmtId="0" fontId="12" fillId="6" borderId="6" xfId="0" applyFont="1" applyFill="1" applyBorder="1" applyAlignment="1">
      <alignment horizontal="center" vertical="center" shrinkToFit="1"/>
    </xf>
    <xf numFmtId="0" fontId="39" fillId="5" borderId="5" xfId="0" applyFont="1" applyFill="1" applyBorder="1" applyAlignment="1">
      <alignment horizontal="center" vertical="center"/>
    </xf>
    <xf numFmtId="0" fontId="39" fillId="5" borderId="14" xfId="0" applyFont="1" applyFill="1" applyBorder="1" applyAlignment="1">
      <alignment horizontal="center" vertical="center"/>
    </xf>
    <xf numFmtId="0" fontId="39" fillId="5" borderId="6" xfId="0" applyFont="1" applyFill="1" applyBorder="1" applyAlignment="1">
      <alignment horizontal="center" vertical="center"/>
    </xf>
    <xf numFmtId="0" fontId="0" fillId="7" borderId="5" xfId="0" applyFont="1" applyFill="1" applyBorder="1" applyAlignment="1">
      <alignment horizontal="center" vertical="center" shrinkToFit="1"/>
    </xf>
    <xf numFmtId="0" fontId="0" fillId="7" borderId="14" xfId="0" applyFont="1" applyFill="1" applyBorder="1" applyAlignment="1">
      <alignment horizontal="center" vertical="center" shrinkToFit="1"/>
    </xf>
    <xf numFmtId="0" fontId="43" fillId="4" borderId="47" xfId="0" applyFont="1" applyFill="1" applyBorder="1" applyAlignment="1">
      <alignment horizontal="center" vertical="center" shrinkToFit="1"/>
    </xf>
    <xf numFmtId="0" fontId="27" fillId="6" borderId="5" xfId="0" applyFont="1" applyFill="1" applyBorder="1" applyAlignment="1">
      <alignment horizontal="center" vertical="center" shrinkToFit="1"/>
    </xf>
    <xf numFmtId="0" fontId="40" fillId="7" borderId="14" xfId="0" applyFont="1" applyFill="1" applyBorder="1" applyAlignment="1">
      <alignment horizontal="center" vertical="center" shrinkToFit="1"/>
    </xf>
    <xf numFmtId="0" fontId="12" fillId="6" borderId="14" xfId="0" applyFont="1" applyFill="1" applyBorder="1" applyAlignment="1">
      <alignment horizontal="center" vertical="center" shrinkToFit="1"/>
    </xf>
    <xf numFmtId="0" fontId="12" fillId="0" borderId="6" xfId="0" applyFont="1" applyBorder="1" applyAlignment="1">
      <alignment horizontal="center" vertical="center" shrinkToFit="1"/>
    </xf>
    <xf numFmtId="0" fontId="41" fillId="6" borderId="5" xfId="0" applyFont="1" applyFill="1" applyBorder="1" applyAlignment="1">
      <alignment horizontal="center" vertical="center" shrinkToFit="1"/>
    </xf>
    <xf numFmtId="0" fontId="42" fillId="7" borderId="14" xfId="0" applyFont="1" applyFill="1" applyBorder="1" applyAlignment="1">
      <alignment horizontal="center" vertical="center" shrinkToFit="1"/>
    </xf>
    <xf numFmtId="0" fontId="38" fillId="4" borderId="1" xfId="0" applyFont="1" applyFill="1" applyBorder="1" applyAlignment="1">
      <alignment horizontal="center" vertical="center"/>
    </xf>
    <xf numFmtId="0" fontId="39" fillId="5" borderId="76" xfId="0" applyFont="1" applyFill="1" applyBorder="1" applyAlignment="1">
      <alignment horizontal="center" vertical="center"/>
    </xf>
    <xf numFmtId="9" fontId="12" fillId="6" borderId="6" xfId="0" applyNumberFormat="1" applyFont="1" applyFill="1" applyBorder="1" applyAlignment="1">
      <alignment horizontal="center" vertical="center" shrinkToFit="1"/>
    </xf>
    <xf numFmtId="0" fontId="27" fillId="5" borderId="3" xfId="0" applyFont="1" applyFill="1" applyBorder="1" applyAlignment="1">
      <alignment horizontal="center" vertical="center" wrapText="1" shrinkToFit="1"/>
    </xf>
    <xf numFmtId="0" fontId="2" fillId="5" borderId="18" xfId="0" applyFont="1" applyFill="1" applyBorder="1" applyAlignment="1">
      <alignment horizontal="center" vertical="center" shrinkToFit="1"/>
    </xf>
    <xf numFmtId="0" fontId="27" fillId="8" borderId="19" xfId="0" applyFont="1" applyFill="1" applyBorder="1" applyAlignment="1">
      <alignment horizontal="center" vertical="center" shrinkToFit="1"/>
    </xf>
    <xf numFmtId="0" fontId="2" fillId="5" borderId="19" xfId="0" applyFont="1" applyFill="1" applyBorder="1" applyAlignment="1">
      <alignment horizontal="center" vertical="center" shrinkToFit="1"/>
    </xf>
    <xf numFmtId="0" fontId="27" fillId="8" borderId="22" xfId="0" applyFont="1" applyFill="1" applyBorder="1" applyAlignment="1">
      <alignment horizontal="center" vertical="center" shrinkToFit="1"/>
    </xf>
    <xf numFmtId="0" fontId="9" fillId="6" borderId="37" xfId="1" applyFont="1" applyFill="1" applyBorder="1" applyAlignment="1">
      <alignment horizontal="left" vertical="center" wrapText="1" shrinkToFit="1"/>
    </xf>
    <xf numFmtId="0" fontId="46" fillId="4" borderId="3" xfId="1" applyFont="1" applyFill="1" applyBorder="1" applyAlignment="1">
      <alignment horizontal="center" vertical="center" shrinkToFit="1"/>
    </xf>
    <xf numFmtId="0" fontId="9" fillId="6" borderId="37" xfId="1" applyFont="1" applyFill="1" applyBorder="1" applyAlignment="1">
      <alignment horizontal="left" vertical="center" wrapText="1" indent="1" shrinkToFit="1"/>
    </xf>
    <xf numFmtId="0" fontId="10" fillId="8" borderId="14" xfId="1" applyFont="1" applyFill="1" applyBorder="1" applyAlignment="1">
      <alignment horizontal="center" vertical="center" shrinkToFit="1"/>
    </xf>
    <xf numFmtId="0" fontId="10" fillId="8" borderId="6" xfId="1" applyFont="1" applyFill="1" applyBorder="1" applyAlignment="1">
      <alignment horizontal="center" vertical="center" shrinkToFit="1"/>
    </xf>
    <xf numFmtId="0" fontId="10" fillId="5" borderId="47" xfId="1" applyFont="1" applyFill="1" applyBorder="1" applyAlignment="1">
      <alignment horizontal="center" vertical="center" shrinkToFit="1"/>
    </xf>
    <xf numFmtId="0" fontId="33" fillId="4" borderId="1" xfId="0" applyFont="1" applyFill="1" applyBorder="1" applyAlignment="1">
      <alignment horizontal="center" vertical="center" shrinkToFit="1"/>
    </xf>
    <xf numFmtId="0" fontId="33" fillId="4" borderId="1" xfId="1" applyFont="1" applyFill="1" applyBorder="1" applyAlignment="1">
      <alignment horizontal="center" vertical="center" shrinkToFit="1"/>
    </xf>
    <xf numFmtId="0" fontId="10" fillId="6" borderId="2" xfId="1" applyFont="1" applyFill="1" applyBorder="1" applyAlignment="1">
      <alignment horizontal="center" vertical="center" shrinkToFit="1"/>
    </xf>
    <xf numFmtId="0" fontId="33" fillId="4" borderId="3" xfId="0" applyFont="1" applyFill="1" applyBorder="1" applyAlignment="1">
      <alignment horizontal="center" vertical="center" indent="1" shrinkToFit="1"/>
    </xf>
    <xf numFmtId="0" fontId="33" fillId="4" borderId="3" xfId="0" applyFont="1" applyFill="1" applyBorder="1" applyAlignment="1">
      <alignment horizontal="center" vertical="center" shrinkToFit="1"/>
    </xf>
    <xf numFmtId="0" fontId="46" fillId="4" borderId="3" xfId="0" applyFont="1" applyFill="1" applyBorder="1" applyAlignment="1">
      <alignment horizontal="center" vertical="center" shrinkToFit="1"/>
    </xf>
    <xf numFmtId="0" fontId="0" fillId="0" borderId="37" xfId="0" applyFont="1" applyFill="1" applyBorder="1" applyAlignment="1">
      <alignment horizontal="right" shrinkToFit="1"/>
    </xf>
    <xf numFmtId="0" fontId="33" fillId="4" borderId="32" xfId="0" applyFont="1" applyFill="1" applyBorder="1" applyAlignment="1">
      <alignment horizontal="left" vertical="center" indent="1" shrinkToFit="1"/>
    </xf>
    <xf numFmtId="0" fontId="0" fillId="7" borderId="21" xfId="0" applyFont="1" applyFill="1" applyBorder="1" applyAlignment="1">
      <alignment horizontal="center" vertical="center" shrinkToFit="1"/>
    </xf>
    <xf numFmtId="0" fontId="45" fillId="8" borderId="20" xfId="0" applyFont="1" applyFill="1" applyBorder="1" applyAlignment="1">
      <alignment horizontal="center" vertical="center" shrinkToFit="1"/>
    </xf>
    <xf numFmtId="0" fontId="33" fillId="4" borderId="20" xfId="0" applyFont="1" applyFill="1" applyBorder="1" applyAlignment="1">
      <alignment horizontal="left" vertical="center" indent="1" shrinkToFit="1"/>
    </xf>
    <xf numFmtId="0" fontId="11" fillId="7" borderId="21" xfId="1" applyFont="1" applyFill="1" applyBorder="1" applyAlignment="1">
      <alignment horizontal="center" vertical="center" shrinkToFit="1"/>
    </xf>
    <xf numFmtId="0" fontId="27" fillId="6" borderId="20" xfId="0" applyFont="1" applyFill="1" applyBorder="1" applyAlignment="1">
      <alignment horizontal="left" vertical="center" indent="1" shrinkToFit="1"/>
    </xf>
    <xf numFmtId="0" fontId="27" fillId="7" borderId="21" xfId="0" applyFont="1" applyFill="1" applyBorder="1" applyAlignment="1">
      <alignment horizontal="center" vertical="center" shrinkToFit="1"/>
    </xf>
    <xf numFmtId="0" fontId="30" fillId="3" borderId="13" xfId="0" applyNumberFormat="1" applyFont="1" applyFill="1" applyBorder="1" applyAlignment="1">
      <alignment horizontal="center" vertical="center" shrinkToFit="1"/>
    </xf>
    <xf numFmtId="0" fontId="52" fillId="8" borderId="36" xfId="0" applyNumberFormat="1" applyFont="1" applyFill="1" applyBorder="1" applyAlignment="1">
      <alignment horizontal="center" vertical="center" shrinkToFit="1"/>
    </xf>
    <xf numFmtId="0" fontId="52" fillId="7" borderId="36" xfId="0" applyNumberFormat="1" applyFont="1" applyFill="1" applyBorder="1" applyAlignment="1">
      <alignment horizontal="center" vertical="center" shrinkToFit="1"/>
    </xf>
    <xf numFmtId="0" fontId="30" fillId="3" borderId="10" xfId="0" applyNumberFormat="1" applyFont="1" applyFill="1" applyBorder="1" applyAlignment="1">
      <alignment horizontal="center" vertical="center" shrinkToFit="1"/>
    </xf>
    <xf numFmtId="0" fontId="30" fillId="3" borderId="17" xfId="0" applyNumberFormat="1" applyFont="1" applyFill="1" applyBorder="1" applyAlignment="1">
      <alignment horizontal="center" vertical="center" shrinkToFit="1"/>
    </xf>
    <xf numFmtId="0" fontId="52" fillId="20" borderId="36" xfId="0" applyNumberFormat="1" applyFont="1" applyFill="1" applyBorder="1" applyAlignment="1">
      <alignment horizontal="center" vertical="center" shrinkToFit="1"/>
    </xf>
    <xf numFmtId="0" fontId="47" fillId="4" borderId="9" xfId="0" applyNumberFormat="1" applyFont="1" applyFill="1" applyBorder="1" applyAlignment="1">
      <alignment horizontal="center" vertical="center" shrinkToFit="1"/>
    </xf>
    <xf numFmtId="0" fontId="52" fillId="2" borderId="36" xfId="0" applyNumberFormat="1" applyFont="1" applyFill="1" applyBorder="1" applyAlignment="1">
      <alignment horizontal="center" vertical="center" shrinkToFit="1"/>
    </xf>
    <xf numFmtId="0" fontId="51" fillId="19" borderId="92" xfId="0" applyNumberFormat="1" applyFont="1" applyFill="1" applyBorder="1" applyAlignment="1">
      <alignment horizontal="center" vertical="center" shrinkToFit="1"/>
    </xf>
    <xf numFmtId="0" fontId="30" fillId="6" borderId="93" xfId="0" applyNumberFormat="1" applyFont="1" applyFill="1" applyBorder="1" applyAlignment="1">
      <alignment horizontal="center" vertical="center" shrinkToFit="1"/>
    </xf>
    <xf numFmtId="0" fontId="30" fillId="19" borderId="11" xfId="0" applyNumberFormat="1" applyFont="1" applyFill="1" applyBorder="1" applyAlignment="1">
      <alignment horizontal="center" vertical="center" shrinkToFit="1"/>
    </xf>
    <xf numFmtId="0" fontId="47" fillId="4" borderId="36" xfId="0" applyNumberFormat="1" applyFont="1" applyFill="1" applyBorder="1" applyAlignment="1">
      <alignment horizontal="center" vertical="center" shrinkToFit="1"/>
    </xf>
    <xf numFmtId="0" fontId="30" fillId="19" borderId="24" xfId="0" applyNumberFormat="1" applyFont="1" applyFill="1" applyBorder="1" applyAlignment="1">
      <alignment horizontal="center" vertical="center" shrinkToFit="1"/>
    </xf>
    <xf numFmtId="49" fontId="30" fillId="17" borderId="41" xfId="0" applyNumberFormat="1" applyFont="1" applyFill="1" applyBorder="1" applyAlignment="1">
      <alignment horizontal="center" vertical="center" shrinkToFit="1"/>
    </xf>
    <xf numFmtId="0" fontId="30" fillId="0" borderId="8" xfId="0" applyNumberFormat="1" applyFont="1" applyBorder="1" applyAlignment="1">
      <alignment horizontal="center" vertical="center" shrinkToFit="1"/>
    </xf>
    <xf numFmtId="0" fontId="30" fillId="0" borderId="80" xfId="0" applyNumberFormat="1" applyFont="1" applyBorder="1" applyAlignment="1">
      <alignment horizontal="center" vertical="center" shrinkToFit="1"/>
    </xf>
    <xf numFmtId="0" fontId="30" fillId="0" borderId="83" xfId="0" applyNumberFormat="1" applyFont="1" applyBorder="1" applyAlignment="1">
      <alignment horizontal="center" vertical="center" shrinkToFit="1"/>
    </xf>
    <xf numFmtId="0" fontId="30" fillId="0" borderId="84" xfId="0" applyNumberFormat="1" applyFont="1" applyBorder="1" applyAlignment="1">
      <alignment horizontal="center" vertical="center" shrinkToFit="1"/>
    </xf>
    <xf numFmtId="49" fontId="30" fillId="17" borderId="36" xfId="0" applyNumberFormat="1" applyFont="1" applyFill="1" applyBorder="1" applyAlignment="1">
      <alignment horizontal="center" vertical="center" shrinkToFit="1"/>
    </xf>
    <xf numFmtId="0" fontId="30" fillId="0" borderId="41" xfId="0" applyNumberFormat="1" applyFont="1" applyBorder="1" applyAlignment="1">
      <alignment horizontal="center" vertical="center" shrinkToFit="1"/>
    </xf>
    <xf numFmtId="0" fontId="50" fillId="2" borderId="85" xfId="0" applyNumberFormat="1" applyFont="1" applyFill="1" applyBorder="1" applyAlignment="1">
      <alignment horizontal="center" vertical="center" shrinkToFit="1"/>
    </xf>
    <xf numFmtId="0" fontId="50" fillId="8" borderId="86" xfId="0" applyNumberFormat="1" applyFont="1" applyFill="1" applyBorder="1" applyAlignment="1">
      <alignment horizontal="center" vertical="center" shrinkToFit="1"/>
    </xf>
    <xf numFmtId="0" fontId="50" fillId="7" borderId="87" xfId="0" applyNumberFormat="1" applyFont="1" applyFill="1" applyBorder="1" applyAlignment="1">
      <alignment horizontal="center" vertical="center" shrinkToFit="1"/>
    </xf>
    <xf numFmtId="0" fontId="32" fillId="17" borderId="36" xfId="0" applyFont="1" applyFill="1" applyBorder="1" applyAlignment="1">
      <alignment horizontal="center" vertical="center" shrinkToFit="1"/>
    </xf>
    <xf numFmtId="0" fontId="47" fillId="4" borderId="26" xfId="0" applyNumberFormat="1" applyFont="1" applyFill="1" applyBorder="1" applyAlignment="1">
      <alignment horizontal="center" vertical="center" shrinkToFit="1"/>
    </xf>
    <xf numFmtId="0" fontId="49" fillId="0" borderId="7" xfId="0" applyNumberFormat="1" applyFont="1" applyBorder="1" applyAlignment="1">
      <alignment horizontal="center" vertical="center" shrinkToFit="1"/>
    </xf>
    <xf numFmtId="0" fontId="49" fillId="0" borderId="80" xfId="0" applyNumberFormat="1" applyFont="1" applyBorder="1" applyAlignment="1">
      <alignment horizontal="center" vertical="center" shrinkToFit="1"/>
    </xf>
    <xf numFmtId="0" fontId="47" fillId="4" borderId="81" xfId="0" applyNumberFormat="1" applyFont="1" applyFill="1" applyBorder="1" applyAlignment="1">
      <alignment horizontal="center" vertical="center" shrinkToFit="1"/>
    </xf>
    <xf numFmtId="0" fontId="48" fillId="4" borderId="82" xfId="0" applyNumberFormat="1" applyFont="1" applyFill="1" applyBorder="1" applyAlignment="1">
      <alignment horizontal="center" vertical="center" shrinkToFit="1"/>
    </xf>
    <xf numFmtId="0" fontId="32" fillId="17" borderId="36" xfId="1" applyFont="1" applyFill="1" applyBorder="1" applyAlignment="1">
      <alignment horizontal="center" vertical="center" shrinkToFit="1"/>
    </xf>
    <xf numFmtId="0" fontId="30" fillId="0" borderId="80" xfId="0" applyNumberFormat="1" applyFont="1" applyBorder="1" applyAlignment="1">
      <alignment horizontal="center" vertical="center" wrapText="1" shrinkToFit="1"/>
    </xf>
    <xf numFmtId="0" fontId="30" fillId="0" borderId="8" xfId="0" applyNumberFormat="1" applyFont="1" applyBorder="1" applyAlignment="1">
      <alignment horizontal="center" vertical="center" wrapText="1" shrinkToFit="1"/>
    </xf>
    <xf numFmtId="0" fontId="0" fillId="0" borderId="26" xfId="0" applyFont="1" applyBorder="1" applyAlignment="1">
      <alignment horizontal="center" vertical="center"/>
    </xf>
    <xf numFmtId="0" fontId="0" fillId="0" borderId="41" xfId="0" applyBorder="1"/>
    <xf numFmtId="0" fontId="30" fillId="0" borderId="7" xfId="0" applyNumberFormat="1" applyFont="1" applyBorder="1" applyAlignment="1">
      <alignment horizontal="center" vertical="center" wrapText="1" shrinkToFit="1"/>
    </xf>
  </cellXfs>
  <cellStyles count="2">
    <cellStyle name="Excel Built-in Normal" xfId="1"/>
    <cellStyle name="標準" xfId="0" builtinId="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C2300"/>
      <rgbColor rgb="0000FF00"/>
      <rgbColor rgb="000000FF"/>
      <rgbColor rgb="00FFFF66"/>
      <rgbColor rgb="00FF00FF"/>
      <rgbColor rgb="0000FFFF"/>
      <rgbColor rgb="00800000"/>
      <rgbColor rgb="00008000"/>
      <rgbColor rgb="00000080"/>
      <rgbColor rgb="00808000"/>
      <rgbColor rgb="00B80047"/>
      <rgbColor rgb="00198A8A"/>
      <rgbColor rgb="00C0C0C0"/>
      <rgbColor rgb="00808080"/>
      <rgbColor rgb="009999FF"/>
      <rgbColor rgb="00FF3366"/>
      <rgbColor rgb="00FFFFCC"/>
      <rgbColor rgb="00CCFFFF"/>
      <rgbColor rgb="00660066"/>
      <rgbColor rgb="00EB613D"/>
      <rgbColor rgb="000047FF"/>
      <rgbColor rgb="00CCCCCC"/>
      <rgbColor rgb="00000080"/>
      <rgbColor rgb="00FF00FF"/>
      <rgbColor rgb="00FFFF00"/>
      <rgbColor rgb="0000FFFF"/>
      <rgbColor rgb="00800080"/>
      <rgbColor rgb="00800000"/>
      <rgbColor rgb="00008080"/>
      <rgbColor rgb="000000FF"/>
      <rgbColor rgb="000099FF"/>
      <rgbColor rgb="00E6E6FF"/>
      <rgbColor rgb="00CCFFCC"/>
      <rgbColor rgb="00FFFF99"/>
      <rgbColor rgb="0083CAFF"/>
      <rgbColor rgb="00FF99CC"/>
      <rgbColor rgb="00CC99FF"/>
      <rgbColor rgb="00FFCC99"/>
      <rgbColor rgb="003366FF"/>
      <rgbColor rgb="0033CCCC"/>
      <rgbColor rgb="0094BD5E"/>
      <rgbColor rgb="00FFCC00"/>
      <rgbColor rgb="00FF9900"/>
      <rgbColor rgb="00FF6633"/>
      <rgbColor rgb="00666699"/>
      <rgbColor rgb="00999999"/>
      <rgbColor rgb="00003366"/>
      <rgbColor rgb="00339966"/>
      <rgbColor rgb="00003300"/>
      <rgbColor rgb="00393939"/>
      <rgbColor rgb="00993300"/>
      <rgbColor rgb="00993366"/>
      <rgbColor rgb="004C4C4C"/>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ctrlProps/ctrlProp1.xml><?xml version="1.0" encoding="utf-8"?>
<formControlPr xmlns="http://schemas.microsoft.com/office/spreadsheetml/2009/9/main" objectType="CheckBox"/>
</file>

<file path=xl/ctrlProps/ctrlProp2.xml><?xml version="1.0" encoding="utf-8"?>
<formControlPr xmlns="http://schemas.microsoft.com/office/spreadsheetml/2009/9/main" objectType="CheckBox"/>
</file>

<file path=xl/ctrlProps/ctrlProp3.xml><?xml version="1.0" encoding="utf-8"?>
<formControlPr xmlns="http://schemas.microsoft.com/office/spreadsheetml/2009/9/main" objectType="CheckBox"/>
</file>

<file path=xl/ctrlProps/ctrlProp4.xml><?xml version="1.0" encoding="utf-8"?>
<formControlPr xmlns="http://schemas.microsoft.com/office/spreadsheetml/2009/9/main" objectType="CheckBox"/>
</file>

<file path=xl/ctrlProps/ctrlProp5.xml><?xml version="1.0" encoding="utf-8"?>
<formControlPr xmlns="http://schemas.microsoft.com/office/spreadsheetml/2009/9/main" objectType="CheckBox"/>
</file>

<file path=xl/ctrlProps/ctrlProp6.xml><?xml version="1.0" encoding="utf-8"?>
<formControlPr xmlns="http://schemas.microsoft.com/office/spreadsheetml/2009/9/main" objectType="CheckBox"/>
</file>

<file path=xl/ctrlProps/ctrlProp7.xml><?xml version="1.0" encoding="utf-8"?>
<formControlPr xmlns="http://schemas.microsoft.com/office/spreadsheetml/2009/9/main" objectType="CheckBox"/>
</file>

<file path=xl/ctrlProps/ctrlProp8.xml><?xml version="1.0" encoding="utf-8"?>
<formControlPr xmlns="http://schemas.microsoft.com/office/spreadsheetml/2009/9/main" objectType="CheckBox"/>
</file>

<file path=xl/ctrlProps/ctrlProp9.xml><?xml version="1.0" encoding="utf-8"?>
<formControlPr xmlns="http://schemas.microsoft.com/office/spreadsheetml/2009/9/main" objectType="CheckBox"/>
</file>

<file path=xl/ctrlProps/ctrlProp10.xml><?xml version="1.0" encoding="utf-8"?>
<formControlPr xmlns="http://schemas.microsoft.com/office/spreadsheetml/2009/9/main" objectType="CheckBox"/>
</file>

<file path=xl/ctrlProps/ctrlProp11.xml><?xml version="1.0" encoding="utf-8"?>
<formControlPr xmlns="http://schemas.microsoft.com/office/spreadsheetml/2009/9/main" objectType="CheckBox"/>
</file>

<file path=xl/ctrlProps/ctrlProp12.xml><?xml version="1.0" encoding="utf-8"?>
<formControlPr xmlns="http://schemas.microsoft.com/office/spreadsheetml/2009/9/main" objectType="CheckBox"/>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9</xdr:col>
      <xdr:colOff>11906</xdr:colOff>
      <xdr:row>13</xdr:row>
      <xdr:rowOff>11906</xdr:rowOff>
    </xdr:from>
    <xdr:to>
      <xdr:col>13</xdr:col>
      <xdr:colOff>654844</xdr:colOff>
      <xdr:row>35</xdr:row>
      <xdr:rowOff>154780</xdr:rowOff>
    </xdr:to>
    <xdr:pic>
      <xdr:nvPicPr>
        <xdr:cNvPr id="5" name="図 4"/>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9374" r="17188"/>
        <a:stretch/>
      </xdr:blipFill>
      <xdr:spPr>
        <a:xfrm>
          <a:off x="6119812" y="2178844"/>
          <a:ext cx="3357563" cy="380999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6</xdr:col>
          <xdr:colOff>76200</xdr:colOff>
          <xdr:row>11</xdr:row>
          <xdr:rowOff>0</xdr:rowOff>
        </xdr:from>
        <xdr:to>
          <xdr:col>7</xdr:col>
          <xdr:colOff>47625</xdr:colOff>
          <xdr:row>11</xdr:row>
          <xdr:rowOff>161925</xdr:rowOff>
        </xdr:to>
        <xdr:sp macro="" textlink="">
          <xdr:nvSpPr>
            <xdr:cNvPr id="4097" name="察知" descr="察知" hidden="1">
              <a:extLst>
                <a:ext uri="{63B3BB69-23CF-44E3-9099-C40C66FF867C}">
                  <a14:compatExt spid="_x0000_s4097"/>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察知</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12</xdr:row>
          <xdr:rowOff>0</xdr:rowOff>
        </xdr:from>
        <xdr:to>
          <xdr:col>7</xdr:col>
          <xdr:colOff>47625</xdr:colOff>
          <xdr:row>12</xdr:row>
          <xdr:rowOff>161925</xdr:rowOff>
        </xdr:to>
        <xdr:sp macro="" textlink="">
          <xdr:nvSpPr>
            <xdr:cNvPr id="4098" name="技術" descr="技術" hidden="1">
              <a:extLst>
                <a:ext uri="{63B3BB69-23CF-44E3-9099-C40C66FF867C}">
                  <a14:compatExt spid="_x0000_s4098"/>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技術</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13</xdr:row>
          <xdr:rowOff>0</xdr:rowOff>
        </xdr:from>
        <xdr:to>
          <xdr:col>7</xdr:col>
          <xdr:colOff>47625</xdr:colOff>
          <xdr:row>13</xdr:row>
          <xdr:rowOff>161925</xdr:rowOff>
        </xdr:to>
        <xdr:sp macro="" textlink="">
          <xdr:nvSpPr>
            <xdr:cNvPr id="4099" name="俊敏" descr="俊敏" hidden="1">
              <a:extLst>
                <a:ext uri="{63B3BB69-23CF-44E3-9099-C40C66FF867C}">
                  <a14:compatExt spid="_x0000_s4099"/>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俊敏</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14</xdr:row>
          <xdr:rowOff>0</xdr:rowOff>
        </xdr:from>
        <xdr:to>
          <xdr:col>7</xdr:col>
          <xdr:colOff>47625</xdr:colOff>
          <xdr:row>14</xdr:row>
          <xdr:rowOff>161925</xdr:rowOff>
        </xdr:to>
        <xdr:sp macro="" textlink="">
          <xdr:nvSpPr>
            <xdr:cNvPr id="4100" name="読心" descr="読心" hidden="1">
              <a:extLst>
                <a:ext uri="{63B3BB69-23CF-44E3-9099-C40C66FF867C}">
                  <a14:compatExt spid="_x0000_s4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読心</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15</xdr:row>
          <xdr:rowOff>0</xdr:rowOff>
        </xdr:from>
        <xdr:to>
          <xdr:col>7</xdr:col>
          <xdr:colOff>47625</xdr:colOff>
          <xdr:row>15</xdr:row>
          <xdr:rowOff>161925</xdr:rowOff>
        </xdr:to>
        <xdr:sp macro="" textlink="">
          <xdr:nvSpPr>
            <xdr:cNvPr id="4101" name="幸運" descr="幸運" hidden="1">
              <a:extLst>
                <a:ext uri="{63B3BB69-23CF-44E3-9099-C40C66FF867C}">
                  <a14:compatExt spid="_x0000_s4101"/>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幸運</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15</xdr:row>
          <xdr:rowOff>0</xdr:rowOff>
        </xdr:from>
        <xdr:to>
          <xdr:col>6</xdr:col>
          <xdr:colOff>38100</xdr:colOff>
          <xdr:row>15</xdr:row>
          <xdr:rowOff>161925</xdr:rowOff>
        </xdr:to>
        <xdr:sp macro="" textlink="">
          <xdr:nvSpPr>
            <xdr:cNvPr id="4102" name="閃き" descr="閃き" hidden="1">
              <a:extLst>
                <a:ext uri="{63B3BB69-23CF-44E3-9099-C40C66FF867C}">
                  <a14:compatExt spid="_x0000_s4102"/>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閃き</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14</xdr:row>
          <xdr:rowOff>0</xdr:rowOff>
        </xdr:from>
        <xdr:to>
          <xdr:col>6</xdr:col>
          <xdr:colOff>38100</xdr:colOff>
          <xdr:row>14</xdr:row>
          <xdr:rowOff>161925</xdr:rowOff>
        </xdr:to>
        <xdr:sp macro="" textlink="">
          <xdr:nvSpPr>
            <xdr:cNvPr id="4103" name="話術" descr="話術" hidden="1">
              <a:extLst>
                <a:ext uri="{63B3BB69-23CF-44E3-9099-C40C66FF867C}">
                  <a14:compatExt spid="_x0000_s4103"/>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話術</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13</xdr:row>
          <xdr:rowOff>0</xdr:rowOff>
        </xdr:from>
        <xdr:to>
          <xdr:col>6</xdr:col>
          <xdr:colOff>38100</xdr:colOff>
          <xdr:row>13</xdr:row>
          <xdr:rowOff>161925</xdr:rowOff>
        </xdr:to>
        <xdr:sp macro="" textlink="">
          <xdr:nvSpPr>
            <xdr:cNvPr id="4104" name="隠密" descr="隠密" hidden="1">
              <a:extLst>
                <a:ext uri="{63B3BB69-23CF-44E3-9099-C40C66FF867C}">
                  <a14:compatExt spid="_x0000_s4104"/>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隠密</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12</xdr:row>
          <xdr:rowOff>0</xdr:rowOff>
        </xdr:from>
        <xdr:to>
          <xdr:col>6</xdr:col>
          <xdr:colOff>38100</xdr:colOff>
          <xdr:row>12</xdr:row>
          <xdr:rowOff>161925</xdr:rowOff>
        </xdr:to>
        <xdr:sp macro="" textlink="">
          <xdr:nvSpPr>
            <xdr:cNvPr id="4105" name="知識" descr="知識" hidden="1">
              <a:extLst>
                <a:ext uri="{63B3BB69-23CF-44E3-9099-C40C66FF867C}">
                  <a14:compatExt spid="_x0000_s4105"/>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知識</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11</xdr:row>
          <xdr:rowOff>0</xdr:rowOff>
        </xdr:from>
        <xdr:to>
          <xdr:col>6</xdr:col>
          <xdr:colOff>38100</xdr:colOff>
          <xdr:row>11</xdr:row>
          <xdr:rowOff>161925</xdr:rowOff>
        </xdr:to>
        <xdr:sp macro="" textlink="">
          <xdr:nvSpPr>
            <xdr:cNvPr id="4106" name="観察眼" descr="観察眼" hidden="1">
              <a:extLst>
                <a:ext uri="{63B3BB69-23CF-44E3-9099-C40C66FF867C}">
                  <a14:compatExt spid="_x0000_s4106"/>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観察眼</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10</xdr:row>
          <xdr:rowOff>0</xdr:rowOff>
        </xdr:from>
        <xdr:to>
          <xdr:col>6</xdr:col>
          <xdr:colOff>38100</xdr:colOff>
          <xdr:row>10</xdr:row>
          <xdr:rowOff>161925</xdr:rowOff>
        </xdr:to>
        <xdr:sp macro="" textlink="">
          <xdr:nvSpPr>
            <xdr:cNvPr id="4107" name="力技" descr="力技" hidden="1">
              <a:extLst>
                <a:ext uri="{63B3BB69-23CF-44E3-9099-C40C66FF867C}">
                  <a14:compatExt spid="_x0000_s4107"/>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力技</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10</xdr:row>
          <xdr:rowOff>0</xdr:rowOff>
        </xdr:from>
        <xdr:to>
          <xdr:col>7</xdr:col>
          <xdr:colOff>47625</xdr:colOff>
          <xdr:row>10</xdr:row>
          <xdr:rowOff>161925</xdr:rowOff>
        </xdr:to>
        <xdr:sp macro="" textlink="">
          <xdr:nvSpPr>
            <xdr:cNvPr id="4108" name="威圧" descr="威圧" hidden="1">
              <a:extLst>
                <a:ext uri="{63B3BB69-23CF-44E3-9099-C40C66FF867C}">
                  <a14:compatExt spid="_x0000_s4108"/>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威圧</a:t>
              </a:r>
            </a:p>
          </xdr:txBody>
        </xdr:sp>
        <xdr:clientData/>
      </xdr:twoCellAnchor>
    </mc:Choice>
    <mc:Fallback/>
  </mc:AlternateContent>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8" Type="http://schemas.openxmlformats.org/officeDocument/2006/relationships/ctrlProp" Target="../ctrlProps/ctrlProp5.xml"/><Relationship Id="rId13" Type="http://schemas.openxmlformats.org/officeDocument/2006/relationships/ctrlProp" Target="../ctrlProps/ctrlProp10.xml"/><Relationship Id="rId3" Type="http://schemas.openxmlformats.org/officeDocument/2006/relationships/vmlDrawing" Target="../drawings/vmlDrawing1.vml"/><Relationship Id="rId7" Type="http://schemas.openxmlformats.org/officeDocument/2006/relationships/ctrlProp" Target="../ctrlProps/ctrlProp4.xml"/><Relationship Id="rId12" Type="http://schemas.openxmlformats.org/officeDocument/2006/relationships/ctrlProp" Target="../ctrlProps/ctrlProp9.xml"/><Relationship Id="rId2" Type="http://schemas.openxmlformats.org/officeDocument/2006/relationships/drawing" Target="../drawings/drawing2.xml"/><Relationship Id="rId1" Type="http://schemas.openxmlformats.org/officeDocument/2006/relationships/printerSettings" Target="../printerSettings/printerSettings1.bin"/><Relationship Id="rId6" Type="http://schemas.openxmlformats.org/officeDocument/2006/relationships/ctrlProp" Target="../ctrlProps/ctrlProp3.xml"/><Relationship Id="rId11" Type="http://schemas.openxmlformats.org/officeDocument/2006/relationships/ctrlProp" Target="../ctrlProps/ctrlProp8.xml"/><Relationship Id="rId5" Type="http://schemas.openxmlformats.org/officeDocument/2006/relationships/ctrlProp" Target="../ctrlProps/ctrlProp2.xml"/><Relationship Id="rId15" Type="http://schemas.openxmlformats.org/officeDocument/2006/relationships/ctrlProp" Target="../ctrlProps/ctrlProp12.xml"/><Relationship Id="rId10" Type="http://schemas.openxmlformats.org/officeDocument/2006/relationships/ctrlProp" Target="../ctrlProps/ctrlProp7.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D173"/>
  <sheetViews>
    <sheetView topLeftCell="AN75" zoomScale="80" zoomScaleNormal="80" workbookViewId="0">
      <selection activeCell="AU95" sqref="AU95"/>
    </sheetView>
  </sheetViews>
  <sheetFormatPr defaultColWidth="10.42578125" defaultRowHeight="14.25" x14ac:dyDescent="0.15"/>
  <cols>
    <col min="1" max="48" width="10.42578125" style="1"/>
    <col min="49" max="49" width="26" style="1" customWidth="1"/>
    <col min="50" max="54" width="10.42578125" style="1"/>
    <col min="55" max="55" width="35.7109375" style="1" customWidth="1"/>
    <col min="56" max="16384" width="10.42578125" style="1"/>
  </cols>
  <sheetData>
    <row r="1" spans="1:55" x14ac:dyDescent="0.15">
      <c r="A1" s="1" t="s">
        <v>0</v>
      </c>
      <c r="C1" s="1" t="s">
        <v>1</v>
      </c>
      <c r="D1" s="1" t="s">
        <v>1</v>
      </c>
      <c r="F1" s="1" t="s">
        <v>2</v>
      </c>
      <c r="H1" s="1" t="s">
        <v>3</v>
      </c>
      <c r="K1" s="1" t="s">
        <v>4</v>
      </c>
      <c r="M1" s="1" t="s">
        <v>5</v>
      </c>
      <c r="P1" s="1" t="s">
        <v>6</v>
      </c>
      <c r="R1" s="1" t="s">
        <v>7</v>
      </c>
      <c r="T1" s="1" t="s">
        <v>8</v>
      </c>
      <c r="V1" s="1" t="s">
        <v>9</v>
      </c>
      <c r="X1" s="1" t="s">
        <v>10</v>
      </c>
      <c r="Z1" s="1" t="s">
        <v>11</v>
      </c>
      <c r="AH1" s="1" t="s">
        <v>12</v>
      </c>
      <c r="AN1" s="1" t="s">
        <v>13</v>
      </c>
      <c r="AP1" s="1" t="s">
        <v>14</v>
      </c>
      <c r="AR1" s="1" t="s">
        <v>15</v>
      </c>
      <c r="AU1" s="1" t="s">
        <v>16</v>
      </c>
      <c r="AW1" s="1" t="s">
        <v>15</v>
      </c>
      <c r="AY1" s="1" t="s">
        <v>17</v>
      </c>
      <c r="BC1" s="1" t="s">
        <v>18</v>
      </c>
    </row>
    <row r="2" spans="1:55" x14ac:dyDescent="0.15">
      <c r="A2" s="2" t="s">
        <v>19</v>
      </c>
      <c r="C2" s="2" t="s">
        <v>19</v>
      </c>
      <c r="D2" s="2" t="s">
        <v>19</v>
      </c>
      <c r="F2" s="2" t="s">
        <v>19</v>
      </c>
      <c r="H2" s="2" t="s">
        <v>19</v>
      </c>
      <c r="K2" s="2" t="s">
        <v>19</v>
      </c>
      <c r="M2" s="2" t="s">
        <v>19</v>
      </c>
      <c r="P2" s="1" t="s">
        <v>20</v>
      </c>
      <c r="R2" s="1">
        <v>-2</v>
      </c>
      <c r="T2" s="2" t="s">
        <v>19</v>
      </c>
      <c r="V2" s="2" t="s">
        <v>19</v>
      </c>
      <c r="X2" s="2" t="s">
        <v>19</v>
      </c>
      <c r="Z2" s="2" t="s">
        <v>19</v>
      </c>
      <c r="AB2" s="2" t="s">
        <v>19</v>
      </c>
      <c r="AD2" s="2">
        <v>0</v>
      </c>
      <c r="AF2" s="2" t="s">
        <v>19</v>
      </c>
      <c r="AH2" s="2" t="s">
        <v>19</v>
      </c>
      <c r="AN2" s="2" t="s">
        <v>19</v>
      </c>
      <c r="AP2" s="2" t="s">
        <v>19</v>
      </c>
      <c r="AR2" s="2" t="s">
        <v>19</v>
      </c>
      <c r="AU2" s="2" t="s">
        <v>19</v>
      </c>
      <c r="AW2" s="2" t="s">
        <v>19</v>
      </c>
      <c r="AY2" s="2" t="s">
        <v>19</v>
      </c>
      <c r="BC2" s="2" t="s">
        <v>19</v>
      </c>
    </row>
    <row r="3" spans="1:55" ht="24" x14ac:dyDescent="0.15">
      <c r="A3" s="1" t="s">
        <v>21</v>
      </c>
      <c r="C3" s="1" t="s">
        <v>22</v>
      </c>
      <c r="D3" s="1" t="s">
        <v>23</v>
      </c>
      <c r="F3" s="3" t="s">
        <v>24</v>
      </c>
      <c r="H3" s="1" t="s">
        <v>25</v>
      </c>
      <c r="K3" s="1" t="s">
        <v>26</v>
      </c>
      <c r="M3" s="1" t="s">
        <v>27</v>
      </c>
      <c r="P3" s="1" t="s">
        <v>28</v>
      </c>
      <c r="R3" s="1">
        <v>-1</v>
      </c>
      <c r="T3" s="1" t="s">
        <v>29</v>
      </c>
      <c r="V3" s="1" t="s">
        <v>30</v>
      </c>
      <c r="X3" s="1" t="s">
        <v>31</v>
      </c>
      <c r="Z3" s="1" t="s">
        <v>32</v>
      </c>
      <c r="AB3" s="1" t="s">
        <v>33</v>
      </c>
      <c r="AD3" s="1">
        <v>1</v>
      </c>
      <c r="AF3" s="1" t="s">
        <v>34</v>
      </c>
      <c r="AH3" s="1" t="s">
        <v>35</v>
      </c>
      <c r="AN3" s="1" t="s">
        <v>36</v>
      </c>
      <c r="AP3" s="1" t="s">
        <v>37</v>
      </c>
      <c r="AR3" t="s">
        <v>38</v>
      </c>
      <c r="AU3" s="1" t="s">
        <v>39</v>
      </c>
      <c r="AW3" s="4" t="s">
        <v>40</v>
      </c>
      <c r="AY3" s="1" t="s">
        <v>41</v>
      </c>
      <c r="BC3" s="1" t="s">
        <v>42</v>
      </c>
    </row>
    <row r="4" spans="1:55" ht="24" x14ac:dyDescent="0.15">
      <c r="A4" s="1" t="s">
        <v>43</v>
      </c>
      <c r="C4" s="1" t="s">
        <v>23</v>
      </c>
      <c r="D4" s="1" t="s">
        <v>44</v>
      </c>
      <c r="F4" s="1" t="s">
        <v>45</v>
      </c>
      <c r="H4" s="1" t="s">
        <v>46</v>
      </c>
      <c r="K4" s="1" t="s">
        <v>47</v>
      </c>
      <c r="M4" s="1" t="s">
        <v>48</v>
      </c>
      <c r="P4" s="1" t="s">
        <v>49</v>
      </c>
      <c r="R4" s="1">
        <v>0</v>
      </c>
      <c r="T4" s="1" t="s">
        <v>50</v>
      </c>
      <c r="V4" s="1" t="s">
        <v>51</v>
      </c>
      <c r="X4" s="1" t="s">
        <v>52</v>
      </c>
      <c r="Z4" s="1" t="s">
        <v>53</v>
      </c>
      <c r="AB4" s="1" t="s">
        <v>54</v>
      </c>
      <c r="AD4" s="1">
        <v>2</v>
      </c>
      <c r="AF4"/>
      <c r="AH4" s="1" t="s">
        <v>55</v>
      </c>
      <c r="AN4" s="1" t="s">
        <v>56</v>
      </c>
      <c r="AP4" s="1" t="s">
        <v>57</v>
      </c>
      <c r="AR4" t="s">
        <v>58</v>
      </c>
      <c r="AU4" s="1" t="s">
        <v>59</v>
      </c>
      <c r="AW4" s="4" t="s">
        <v>60</v>
      </c>
      <c r="AY4" s="1" t="s">
        <v>61</v>
      </c>
      <c r="BC4" s="1" t="s">
        <v>62</v>
      </c>
    </row>
    <row r="5" spans="1:55" ht="28.5" x14ac:dyDescent="0.15">
      <c r="A5" s="1" t="s">
        <v>63</v>
      </c>
      <c r="C5" s="1" t="s">
        <v>44</v>
      </c>
      <c r="D5" s="1" t="s">
        <v>64</v>
      </c>
      <c r="F5" s="1" t="s">
        <v>65</v>
      </c>
      <c r="H5" s="1" t="s">
        <v>66</v>
      </c>
      <c r="K5" s="1" t="s">
        <v>67</v>
      </c>
      <c r="M5" s="1" t="s">
        <v>68</v>
      </c>
      <c r="R5" s="1">
        <v>1</v>
      </c>
      <c r="T5" s="1" t="s">
        <v>69</v>
      </c>
      <c r="V5" s="1" t="s">
        <v>70</v>
      </c>
      <c r="X5" s="1" t="s">
        <v>71</v>
      </c>
      <c r="Z5" s="1" t="s">
        <v>72</v>
      </c>
      <c r="AB5" s="1" t="s">
        <v>73</v>
      </c>
      <c r="AD5" s="1">
        <v>3</v>
      </c>
      <c r="AF5" s="2" t="s">
        <v>19</v>
      </c>
      <c r="AH5" s="1" t="s">
        <v>74</v>
      </c>
      <c r="AN5" s="1" t="s">
        <v>75</v>
      </c>
      <c r="AP5" s="1" t="s">
        <v>76</v>
      </c>
      <c r="AR5" t="s">
        <v>77</v>
      </c>
      <c r="AU5" s="1" t="s">
        <v>78</v>
      </c>
      <c r="AW5" s="4" t="s">
        <v>79</v>
      </c>
      <c r="AY5" s="1" t="s">
        <v>80</v>
      </c>
      <c r="BC5" s="5" t="s">
        <v>81</v>
      </c>
    </row>
    <row r="6" spans="1:55" ht="28.5" x14ac:dyDescent="0.15">
      <c r="A6" s="1" t="s">
        <v>82</v>
      </c>
      <c r="C6" s="1" t="s">
        <v>64</v>
      </c>
      <c r="D6" s="1" t="s">
        <v>83</v>
      </c>
      <c r="F6" t="s">
        <v>84</v>
      </c>
      <c r="H6" s="1" t="s">
        <v>85</v>
      </c>
      <c r="K6" t="s">
        <v>86</v>
      </c>
      <c r="M6" t="s">
        <v>87</v>
      </c>
      <c r="R6" s="1">
        <v>2</v>
      </c>
      <c r="T6" s="1" t="s">
        <v>88</v>
      </c>
      <c r="V6" s="1" t="s">
        <v>89</v>
      </c>
      <c r="X6" s="1" t="s">
        <v>90</v>
      </c>
      <c r="Z6" s="1" t="s">
        <v>91</v>
      </c>
      <c r="AB6"/>
      <c r="AD6" s="1">
        <v>4</v>
      </c>
      <c r="AF6" s="1" t="s">
        <v>92</v>
      </c>
      <c r="AH6" s="1" t="s">
        <v>93</v>
      </c>
      <c r="AN6" s="1" t="s">
        <v>94</v>
      </c>
      <c r="AP6" s="1" t="s">
        <v>95</v>
      </c>
      <c r="AR6" t="s">
        <v>96</v>
      </c>
      <c r="AU6" s="1" t="s">
        <v>97</v>
      </c>
      <c r="AW6" s="4" t="s">
        <v>98</v>
      </c>
      <c r="AY6" s="1" t="s">
        <v>99</v>
      </c>
      <c r="BC6" s="5" t="s">
        <v>100</v>
      </c>
    </row>
    <row r="7" spans="1:55" ht="28.5" x14ac:dyDescent="0.15">
      <c r="A7" s="1" t="s">
        <v>101</v>
      </c>
      <c r="C7" s="1" t="s">
        <v>83</v>
      </c>
      <c r="D7"/>
      <c r="F7" s="1" t="s">
        <v>102</v>
      </c>
      <c r="K7" s="1" t="s">
        <v>103</v>
      </c>
      <c r="M7" s="1" t="s">
        <v>104</v>
      </c>
      <c r="R7" s="1">
        <v>3</v>
      </c>
      <c r="T7" s="1" t="s">
        <v>105</v>
      </c>
      <c r="V7" s="1" t="s">
        <v>42</v>
      </c>
      <c r="X7" s="1" t="s">
        <v>106</v>
      </c>
      <c r="Z7" s="1" t="s">
        <v>107</v>
      </c>
      <c r="AD7" s="1">
        <v>5</v>
      </c>
      <c r="AF7"/>
      <c r="AH7" s="1" t="s">
        <v>108</v>
      </c>
      <c r="AN7" s="1" t="s">
        <v>109</v>
      </c>
      <c r="AP7" s="1" t="s">
        <v>110</v>
      </c>
      <c r="AR7" t="s">
        <v>111</v>
      </c>
      <c r="AU7" s="1" t="s">
        <v>112</v>
      </c>
      <c r="AW7" s="4" t="s">
        <v>113</v>
      </c>
      <c r="AY7" s="3" t="s">
        <v>114</v>
      </c>
      <c r="BC7" s="5" t="s">
        <v>115</v>
      </c>
    </row>
    <row r="8" spans="1:55" ht="24" x14ac:dyDescent="0.15">
      <c r="A8" s="1" t="s">
        <v>116</v>
      </c>
      <c r="C8"/>
      <c r="F8" s="1" t="s">
        <v>117</v>
      </c>
      <c r="K8" s="1" t="s">
        <v>118</v>
      </c>
      <c r="M8" s="1" t="s">
        <v>119</v>
      </c>
      <c r="T8" s="1" t="s">
        <v>120</v>
      </c>
      <c r="V8" t="s">
        <v>121</v>
      </c>
      <c r="X8" s="1" t="s">
        <v>122</v>
      </c>
      <c r="Z8" s="1" t="s">
        <v>123</v>
      </c>
      <c r="AD8" s="1">
        <v>6</v>
      </c>
      <c r="AF8" s="2" t="s">
        <v>19</v>
      </c>
      <c r="AH8" s="1" t="s">
        <v>124</v>
      </c>
      <c r="AN8" s="1" t="s">
        <v>125</v>
      </c>
      <c r="AP8" s="1" t="s">
        <v>126</v>
      </c>
      <c r="AR8" t="s">
        <v>127</v>
      </c>
      <c r="AU8" s="1" t="s">
        <v>128</v>
      </c>
      <c r="AW8" s="4" t="s">
        <v>129</v>
      </c>
      <c r="AY8" s="1" t="s">
        <v>130</v>
      </c>
      <c r="BC8" s="4" t="s">
        <v>131</v>
      </c>
    </row>
    <row r="9" spans="1:55" ht="28.5" x14ac:dyDescent="0.15">
      <c r="K9" s="1" t="s">
        <v>132</v>
      </c>
      <c r="M9" s="1" t="s">
        <v>133</v>
      </c>
      <c r="X9" s="1" t="s">
        <v>134</v>
      </c>
      <c r="Z9" t="s">
        <v>135</v>
      </c>
      <c r="AD9" s="1">
        <v>7</v>
      </c>
      <c r="AF9" s="1" t="s">
        <v>136</v>
      </c>
      <c r="AH9" s="1" t="s">
        <v>137</v>
      </c>
      <c r="AN9" s="1" t="s">
        <v>138</v>
      </c>
      <c r="AP9" s="1" t="s">
        <v>139</v>
      </c>
      <c r="AR9" s="1" t="s">
        <v>140</v>
      </c>
      <c r="AW9" s="5" t="s">
        <v>141</v>
      </c>
      <c r="AY9" s="1" t="s">
        <v>142</v>
      </c>
      <c r="BC9" s="5" t="s">
        <v>143</v>
      </c>
    </row>
    <row r="10" spans="1:55" ht="28.5" x14ac:dyDescent="0.15">
      <c r="K10" s="1" t="s">
        <v>144</v>
      </c>
      <c r="Q10" s="1" t="s">
        <v>145</v>
      </c>
      <c r="V10"/>
      <c r="X10" s="1" t="s">
        <v>146</v>
      </c>
      <c r="Z10" t="s">
        <v>147</v>
      </c>
      <c r="AD10" s="1">
        <v>8</v>
      </c>
      <c r="AF10"/>
      <c r="AH10" s="1" t="s">
        <v>148</v>
      </c>
      <c r="AN10" s="1" t="s">
        <v>149</v>
      </c>
      <c r="AP10" s="1" t="s">
        <v>150</v>
      </c>
      <c r="AR10" s="1" t="s">
        <v>151</v>
      </c>
      <c r="AW10" s="5" t="s">
        <v>152</v>
      </c>
      <c r="AY10" s="1" t="s">
        <v>153</v>
      </c>
      <c r="BC10" s="5" t="s">
        <v>154</v>
      </c>
    </row>
    <row r="11" spans="1:55" ht="28.5" x14ac:dyDescent="0.15">
      <c r="F11" s="1" t="s">
        <v>155</v>
      </c>
      <c r="K11" s="1" t="s">
        <v>156</v>
      </c>
      <c r="Q11" s="2" t="s">
        <v>19</v>
      </c>
      <c r="V11"/>
      <c r="X11" s="1" t="s">
        <v>157</v>
      </c>
      <c r="Z11" s="1" t="s">
        <v>158</v>
      </c>
      <c r="AD11" s="1">
        <v>9</v>
      </c>
      <c r="AF11" s="2" t="s">
        <v>19</v>
      </c>
      <c r="AH11" s="1" t="s">
        <v>159</v>
      </c>
      <c r="AN11" s="1" t="s">
        <v>160</v>
      </c>
      <c r="AP11" s="1" t="s">
        <v>161</v>
      </c>
      <c r="AR11" s="1" t="s">
        <v>162</v>
      </c>
      <c r="AW11" s="5" t="s">
        <v>163</v>
      </c>
      <c r="AY11" s="1" t="s">
        <v>164</v>
      </c>
      <c r="BC11" s="5" t="s">
        <v>165</v>
      </c>
    </row>
    <row r="12" spans="1:55" ht="28.5" x14ac:dyDescent="0.15">
      <c r="A12" s="1" t="s">
        <v>166</v>
      </c>
      <c r="C12" s="1" t="s">
        <v>167</v>
      </c>
      <c r="F12" s="1" t="s">
        <v>19</v>
      </c>
      <c r="K12" s="1" t="s">
        <v>168</v>
      </c>
      <c r="Q12" s="1" t="s">
        <v>42</v>
      </c>
      <c r="V12"/>
      <c r="X12" s="1" t="s">
        <v>169</v>
      </c>
      <c r="Z12" s="1" t="s">
        <v>170</v>
      </c>
      <c r="AD12" s="1">
        <v>10</v>
      </c>
      <c r="AF12" s="1" t="s">
        <v>171</v>
      </c>
      <c r="AH12" s="1" t="s">
        <v>172</v>
      </c>
      <c r="AN12" s="1" t="s">
        <v>173</v>
      </c>
      <c r="AP12" s="1" t="s">
        <v>174</v>
      </c>
      <c r="AR12" s="1" t="s">
        <v>175</v>
      </c>
      <c r="AW12" s="5" t="s">
        <v>176</v>
      </c>
      <c r="AY12" s="1" t="s">
        <v>177</v>
      </c>
      <c r="BC12" s="5" t="s">
        <v>178</v>
      </c>
    </row>
    <row r="13" spans="1:55" ht="28.5" x14ac:dyDescent="0.15">
      <c r="A13" s="2" t="s">
        <v>19</v>
      </c>
      <c r="C13" s="2" t="s">
        <v>19</v>
      </c>
      <c r="F13" s="1" t="s">
        <v>179</v>
      </c>
      <c r="K13" t="s">
        <v>180</v>
      </c>
      <c r="Q13" s="1" t="s">
        <v>62</v>
      </c>
      <c r="V13"/>
      <c r="X13" s="1" t="s">
        <v>181</v>
      </c>
      <c r="Z13" t="s">
        <v>182</v>
      </c>
      <c r="AD13" s="1">
        <v>11</v>
      </c>
      <c r="AF13"/>
      <c r="AH13" s="1" t="s">
        <v>183</v>
      </c>
      <c r="AN13" s="1" t="s">
        <v>184</v>
      </c>
      <c r="AP13" s="1" t="s">
        <v>185</v>
      </c>
      <c r="AR13" s="1" t="s">
        <v>186</v>
      </c>
      <c r="AW13" s="5" t="s">
        <v>187</v>
      </c>
      <c r="AY13" s="1" t="s">
        <v>188</v>
      </c>
      <c r="BC13" s="5" t="s">
        <v>189</v>
      </c>
    </row>
    <row r="14" spans="1:55" ht="28.5" x14ac:dyDescent="0.15">
      <c r="A14" s="1" t="s">
        <v>190</v>
      </c>
      <c r="C14" s="1" t="s">
        <v>191</v>
      </c>
      <c r="F14" s="1" t="s">
        <v>192</v>
      </c>
      <c r="K14" s="1" t="s">
        <v>193</v>
      </c>
      <c r="Q14" s="1" t="s">
        <v>145</v>
      </c>
      <c r="V14"/>
      <c r="X14" s="1" t="s">
        <v>194</v>
      </c>
      <c r="Z14" s="1" t="s">
        <v>195</v>
      </c>
      <c r="AD14" s="1">
        <v>12</v>
      </c>
      <c r="AF14" s="2" t="s">
        <v>19</v>
      </c>
      <c r="AH14" s="1" t="s">
        <v>196</v>
      </c>
      <c r="AN14" s="1" t="s">
        <v>197</v>
      </c>
      <c r="AP14" s="1" t="s">
        <v>198</v>
      </c>
      <c r="AR14" s="1" t="s">
        <v>199</v>
      </c>
      <c r="AW14" s="5" t="s">
        <v>200</v>
      </c>
      <c r="AY14" s="3" t="s">
        <v>201</v>
      </c>
      <c r="BC14" s="5" t="s">
        <v>202</v>
      </c>
    </row>
    <row r="15" spans="1:55" ht="28.5" x14ac:dyDescent="0.15">
      <c r="A15" s="1" t="s">
        <v>203</v>
      </c>
      <c r="C15" s="1" t="s">
        <v>204</v>
      </c>
      <c r="F15" s="1" t="s">
        <v>205</v>
      </c>
      <c r="K15" s="1" t="s">
        <v>161</v>
      </c>
      <c r="Q15" s="6" t="s">
        <v>12</v>
      </c>
      <c r="V15" s="1" t="s">
        <v>206</v>
      </c>
      <c r="X15" s="1" t="s">
        <v>207</v>
      </c>
      <c r="Z15" s="1" t="s">
        <v>208</v>
      </c>
      <c r="AF15" s="1" t="s">
        <v>209</v>
      </c>
      <c r="AH15" s="1" t="s">
        <v>210</v>
      </c>
      <c r="AN15" s="1" t="s">
        <v>211</v>
      </c>
      <c r="AP15" s="1" t="s">
        <v>212</v>
      </c>
      <c r="AR15" s="1" t="s">
        <v>213</v>
      </c>
      <c r="AW15" s="5" t="s">
        <v>214</v>
      </c>
      <c r="AY15" s="3" t="s">
        <v>215</v>
      </c>
      <c r="BC15" s="4" t="s">
        <v>216</v>
      </c>
    </row>
    <row r="16" spans="1:55" ht="28.5" x14ac:dyDescent="0.15">
      <c r="A16" s="1" t="s">
        <v>217</v>
      </c>
      <c r="C16" s="1" t="s">
        <v>218</v>
      </c>
      <c r="K16" s="1" t="s">
        <v>219</v>
      </c>
      <c r="M16" s="1" t="s">
        <v>220</v>
      </c>
      <c r="T16" s="2"/>
      <c r="V16" s="2" t="s">
        <v>19</v>
      </c>
      <c r="X16" s="1" t="s">
        <v>221</v>
      </c>
      <c r="Z16"/>
      <c r="AH16" s="1" t="s">
        <v>222</v>
      </c>
      <c r="AN16" s="1" t="s">
        <v>223</v>
      </c>
      <c r="AP16" s="1" t="s">
        <v>224</v>
      </c>
      <c r="AR16" s="1" t="s">
        <v>225</v>
      </c>
      <c r="AW16" s="5" t="s">
        <v>226</v>
      </c>
      <c r="AY16" s="3" t="s">
        <v>227</v>
      </c>
      <c r="BC16" s="5" t="s">
        <v>228</v>
      </c>
    </row>
    <row r="17" spans="1:55" ht="28.5" x14ac:dyDescent="0.15">
      <c r="A17" s="1" t="s">
        <v>229</v>
      </c>
      <c r="C17" s="1" t="s">
        <v>230</v>
      </c>
      <c r="K17" s="1" t="s">
        <v>231</v>
      </c>
      <c r="M17" s="1" t="s">
        <v>232</v>
      </c>
      <c r="V17" s="1" t="s">
        <v>233</v>
      </c>
      <c r="X17" s="1" t="s">
        <v>234</v>
      </c>
      <c r="AF17" s="2" t="s">
        <v>19</v>
      </c>
      <c r="AH17" s="1" t="s">
        <v>235</v>
      </c>
      <c r="AN17" s="1" t="s">
        <v>236</v>
      </c>
      <c r="AP17" s="1" t="s">
        <v>237</v>
      </c>
      <c r="AR17" s="1" t="s">
        <v>238</v>
      </c>
      <c r="AW17" s="5" t="s">
        <v>239</v>
      </c>
      <c r="AY17" s="3" t="s">
        <v>240</v>
      </c>
      <c r="BC17" s="5" t="s">
        <v>241</v>
      </c>
    </row>
    <row r="18" spans="1:55" ht="28.5" x14ac:dyDescent="0.15">
      <c r="A18" s="1" t="s">
        <v>242</v>
      </c>
      <c r="C18" s="1" t="s">
        <v>243</v>
      </c>
      <c r="K18" t="s">
        <v>244</v>
      </c>
      <c r="M18" s="1" t="s">
        <v>245</v>
      </c>
      <c r="V18" s="1" t="s">
        <v>246</v>
      </c>
      <c r="X18" s="1" t="s">
        <v>247</v>
      </c>
      <c r="AF18" s="1" t="s">
        <v>248</v>
      </c>
      <c r="AH18" s="1" t="s">
        <v>249</v>
      </c>
      <c r="AN18" s="1" t="s">
        <v>250</v>
      </c>
      <c r="AP18" s="1" t="s">
        <v>251</v>
      </c>
      <c r="AR18" s="1" t="s">
        <v>252</v>
      </c>
      <c r="AW18" s="5" t="s">
        <v>253</v>
      </c>
      <c r="AY18" s="3" t="s">
        <v>254</v>
      </c>
      <c r="BC18" s="5" t="s">
        <v>255</v>
      </c>
    </row>
    <row r="19" spans="1:55" ht="28.5" x14ac:dyDescent="0.15">
      <c r="A19" s="1" t="s">
        <v>256</v>
      </c>
      <c r="C19" s="1" t="s">
        <v>257</v>
      </c>
      <c r="K19" s="1" t="s">
        <v>258</v>
      </c>
      <c r="M19" s="1" t="s">
        <v>259</v>
      </c>
      <c r="V19" t="s">
        <v>260</v>
      </c>
      <c r="X19" s="1" t="s">
        <v>261</v>
      </c>
      <c r="AH19" s="1" t="s">
        <v>262</v>
      </c>
      <c r="AN19" s="1" t="s">
        <v>263</v>
      </c>
      <c r="AP19" s="1" t="s">
        <v>264</v>
      </c>
      <c r="AR19" s="1" t="s">
        <v>265</v>
      </c>
      <c r="AW19" s="5" t="s">
        <v>266</v>
      </c>
      <c r="AY19" s="3" t="s">
        <v>267</v>
      </c>
      <c r="BC19" s="5" t="s">
        <v>268</v>
      </c>
    </row>
    <row r="20" spans="1:55" ht="28.5" x14ac:dyDescent="0.15">
      <c r="A20" s="1" t="s">
        <v>269</v>
      </c>
      <c r="K20" t="s">
        <v>270</v>
      </c>
      <c r="M20" s="1" t="s">
        <v>271</v>
      </c>
      <c r="V20" s="1" t="s">
        <v>272</v>
      </c>
      <c r="X20" s="1" t="s">
        <v>273</v>
      </c>
      <c r="AF20" s="2" t="s">
        <v>19</v>
      </c>
      <c r="AH20" s="1" t="s">
        <v>274</v>
      </c>
      <c r="AN20" s="1" t="s">
        <v>275</v>
      </c>
      <c r="AP20" s="1" t="s">
        <v>276</v>
      </c>
      <c r="AR20" s="1" t="s">
        <v>277</v>
      </c>
      <c r="AW20" s="5" t="s">
        <v>278</v>
      </c>
      <c r="AY20" s="3" t="s">
        <v>279</v>
      </c>
      <c r="BC20" s="4" t="s">
        <v>280</v>
      </c>
    </row>
    <row r="21" spans="1:55" ht="28.5" x14ac:dyDescent="0.15">
      <c r="A21" s="1" t="s">
        <v>281</v>
      </c>
      <c r="C21" s="1" t="s">
        <v>282</v>
      </c>
      <c r="K21" s="1" t="s">
        <v>283</v>
      </c>
      <c r="M21" s="1" t="s">
        <v>284</v>
      </c>
      <c r="V21" s="1" t="s">
        <v>285</v>
      </c>
      <c r="X21" s="1" t="s">
        <v>286</v>
      </c>
      <c r="AF21" s="1" t="s">
        <v>287</v>
      </c>
      <c r="AH21" s="1" t="s">
        <v>288</v>
      </c>
      <c r="AN21" s="1" t="s">
        <v>289</v>
      </c>
      <c r="AP21" s="1" t="s">
        <v>290</v>
      </c>
      <c r="AR21" s="1" t="s">
        <v>291</v>
      </c>
      <c r="AW21" s="5" t="s">
        <v>292</v>
      </c>
      <c r="AY21" s="3" t="s">
        <v>293</v>
      </c>
      <c r="BC21" s="5" t="s">
        <v>294</v>
      </c>
    </row>
    <row r="22" spans="1:55" ht="28.5" x14ac:dyDescent="0.15">
      <c r="A22" s="1" t="s">
        <v>295</v>
      </c>
      <c r="C22" s="2" t="s">
        <v>19</v>
      </c>
      <c r="K22" s="1" t="s">
        <v>296</v>
      </c>
      <c r="V22" s="1" t="s">
        <v>297</v>
      </c>
      <c r="X22" s="1" t="s">
        <v>298</v>
      </c>
      <c r="AH22" s="1" t="s">
        <v>299</v>
      </c>
      <c r="AN22" s="1" t="s">
        <v>300</v>
      </c>
      <c r="AP22" s="1" t="s">
        <v>301</v>
      </c>
      <c r="AR22" s="1" t="s">
        <v>302</v>
      </c>
      <c r="AW22" s="5" t="s">
        <v>303</v>
      </c>
      <c r="AY22" s="3" t="s">
        <v>304</v>
      </c>
      <c r="BC22" s="4" t="s">
        <v>305</v>
      </c>
    </row>
    <row r="23" spans="1:55" ht="28.5" x14ac:dyDescent="0.15">
      <c r="A23" s="1" t="s">
        <v>306</v>
      </c>
      <c r="C23" s="1">
        <v>1</v>
      </c>
      <c r="K23" s="1" t="s">
        <v>307</v>
      </c>
      <c r="V23" s="1" t="s">
        <v>308</v>
      </c>
      <c r="X23" s="1" t="s">
        <v>309</v>
      </c>
      <c r="AF23" s="2" t="s">
        <v>19</v>
      </c>
      <c r="AH23" s="1" t="s">
        <v>310</v>
      </c>
      <c r="AN23" s="1" t="s">
        <v>311</v>
      </c>
      <c r="AP23" s="1" t="s">
        <v>312</v>
      </c>
      <c r="AR23" s="1" t="s">
        <v>313</v>
      </c>
      <c r="AW23" s="5" t="s">
        <v>314</v>
      </c>
      <c r="AY23" s="3" t="s">
        <v>315</v>
      </c>
      <c r="BC23" s="5" t="s">
        <v>316</v>
      </c>
    </row>
    <row r="24" spans="1:55" ht="28.5" x14ac:dyDescent="0.15">
      <c r="C24" s="1">
        <v>2</v>
      </c>
      <c r="K24" s="1" t="s">
        <v>317</v>
      </c>
      <c r="V24" s="1" t="s">
        <v>318</v>
      </c>
      <c r="X24" s="1" t="s">
        <v>319</v>
      </c>
      <c r="AF24" s="1" t="s">
        <v>320</v>
      </c>
      <c r="AH24" s="1" t="s">
        <v>321</v>
      </c>
      <c r="AN24" t="s">
        <v>322</v>
      </c>
      <c r="AP24" s="1" t="s">
        <v>323</v>
      </c>
      <c r="AR24" s="1" t="s">
        <v>324</v>
      </c>
      <c r="AW24" s="5" t="s">
        <v>325</v>
      </c>
      <c r="AY24" s="3" t="s">
        <v>326</v>
      </c>
      <c r="BC24" s="5" t="s">
        <v>327</v>
      </c>
    </row>
    <row r="25" spans="1:55" ht="28.5" x14ac:dyDescent="0.15">
      <c r="C25" s="1">
        <v>3</v>
      </c>
      <c r="T25" s="1" t="s">
        <v>328</v>
      </c>
      <c r="V25" s="1" t="s">
        <v>329</v>
      </c>
      <c r="X25" s="1" t="s">
        <v>330</v>
      </c>
      <c r="AH25" s="1" t="s">
        <v>331</v>
      </c>
      <c r="AN25" t="s">
        <v>332</v>
      </c>
      <c r="AP25" s="1" t="s">
        <v>333</v>
      </c>
      <c r="AR25" s="1" t="s">
        <v>334</v>
      </c>
      <c r="AW25" s="5" t="s">
        <v>335</v>
      </c>
      <c r="AY25"/>
      <c r="BC25" s="5" t="s">
        <v>336</v>
      </c>
    </row>
    <row r="26" spans="1:55" ht="28.5" x14ac:dyDescent="0.15">
      <c r="C26" s="1">
        <v>4</v>
      </c>
      <c r="T26" s="2" t="s">
        <v>19</v>
      </c>
      <c r="V26" s="1" t="s">
        <v>337</v>
      </c>
      <c r="X26" s="1" t="s">
        <v>338</v>
      </c>
      <c r="AF26" s="2" t="s">
        <v>19</v>
      </c>
      <c r="AH26" s="1" t="s">
        <v>339</v>
      </c>
      <c r="AN26" s="1" t="s">
        <v>340</v>
      </c>
      <c r="AP26" s="1" t="s">
        <v>341</v>
      </c>
      <c r="AR26" s="1" t="s">
        <v>342</v>
      </c>
      <c r="AW26" s="5" t="s">
        <v>343</v>
      </c>
      <c r="AY26"/>
      <c r="BC26" s="5" t="s">
        <v>344</v>
      </c>
    </row>
    <row r="27" spans="1:55" ht="28.5" x14ac:dyDescent="0.15">
      <c r="C27" s="1">
        <v>5</v>
      </c>
      <c r="T27" s="1" t="s">
        <v>345</v>
      </c>
      <c r="V27" s="1" t="s">
        <v>346</v>
      </c>
      <c r="X27" s="1" t="s">
        <v>347</v>
      </c>
      <c r="AF27" s="1" t="s">
        <v>348</v>
      </c>
      <c r="AH27" s="1" t="s">
        <v>349</v>
      </c>
      <c r="AN27" s="1" t="s">
        <v>350</v>
      </c>
      <c r="AP27" s="1" t="s">
        <v>351</v>
      </c>
      <c r="AR27" s="1" t="s">
        <v>352</v>
      </c>
      <c r="AW27" s="5" t="s">
        <v>353</v>
      </c>
      <c r="AY27" s="3"/>
      <c r="BC27" s="4" t="s">
        <v>354</v>
      </c>
    </row>
    <row r="28" spans="1:55" ht="28.5" x14ac:dyDescent="0.15">
      <c r="T28" s="1" t="s">
        <v>261</v>
      </c>
      <c r="V28" s="1" t="s">
        <v>355</v>
      </c>
      <c r="X28" s="1" t="s">
        <v>356</v>
      </c>
      <c r="AH28" s="1" t="s">
        <v>357</v>
      </c>
      <c r="AN28" s="1" t="s">
        <v>358</v>
      </c>
      <c r="AP28" s="1" t="s">
        <v>359</v>
      </c>
      <c r="AR28" s="1" t="s">
        <v>360</v>
      </c>
      <c r="AW28" s="5" t="s">
        <v>361</v>
      </c>
      <c r="AY28" s="3"/>
      <c r="BC28" s="4" t="s">
        <v>362</v>
      </c>
    </row>
    <row r="29" spans="1:55" ht="28.5" x14ac:dyDescent="0.15">
      <c r="T29" s="1" t="s">
        <v>363</v>
      </c>
      <c r="V29" s="1" t="s">
        <v>364</v>
      </c>
      <c r="X29" s="1" t="s">
        <v>365</v>
      </c>
      <c r="AF29" s="2" t="s">
        <v>19</v>
      </c>
      <c r="AH29" s="1" t="s">
        <v>366</v>
      </c>
      <c r="AN29" s="1" t="s">
        <v>367</v>
      </c>
      <c r="AP29" s="1" t="s">
        <v>368</v>
      </c>
      <c r="AR29" s="1" t="s">
        <v>369</v>
      </c>
      <c r="AW29" s="5" t="s">
        <v>370</v>
      </c>
      <c r="AY29" s="3"/>
      <c r="BC29" s="4" t="s">
        <v>371</v>
      </c>
    </row>
    <row r="30" spans="1:55" ht="28.5" x14ac:dyDescent="0.15">
      <c r="T30" s="1" t="s">
        <v>372</v>
      </c>
      <c r="V30" s="1" t="s">
        <v>373</v>
      </c>
      <c r="X30" s="1" t="s">
        <v>374</v>
      </c>
      <c r="AF30" s="1" t="s">
        <v>375</v>
      </c>
      <c r="AH30" s="1" t="s">
        <v>376</v>
      </c>
      <c r="AN30" s="1" t="s">
        <v>377</v>
      </c>
      <c r="AP30" s="1" t="s">
        <v>378</v>
      </c>
      <c r="AR30" s="1" t="s">
        <v>379</v>
      </c>
      <c r="AW30" s="5" t="s">
        <v>380</v>
      </c>
      <c r="BC30" s="4" t="s">
        <v>381</v>
      </c>
    </row>
    <row r="31" spans="1:55" ht="28.5" x14ac:dyDescent="0.2">
      <c r="T31" s="1" t="s">
        <v>382</v>
      </c>
      <c r="V31" s="1" t="s">
        <v>383</v>
      </c>
      <c r="X31" s="1" t="s">
        <v>384</v>
      </c>
      <c r="AF31"/>
      <c r="AH31" t="s">
        <v>385</v>
      </c>
      <c r="AN31" s="1" t="s">
        <v>386</v>
      </c>
      <c r="AP31" s="1" t="s">
        <v>387</v>
      </c>
      <c r="AR31" s="1" t="s">
        <v>388</v>
      </c>
      <c r="AW31" s="5" t="s">
        <v>389</v>
      </c>
      <c r="BC31" s="4" t="s">
        <v>390</v>
      </c>
    </row>
    <row r="32" spans="1:55" ht="28.5" x14ac:dyDescent="0.2">
      <c r="T32" s="1" t="s">
        <v>391</v>
      </c>
      <c r="V32" s="1" t="s">
        <v>392</v>
      </c>
      <c r="X32" s="1" t="s">
        <v>391</v>
      </c>
      <c r="AF32" s="2" t="s">
        <v>19</v>
      </c>
      <c r="AH32" t="s">
        <v>393</v>
      </c>
      <c r="AN32" s="1" t="s">
        <v>394</v>
      </c>
      <c r="AP32" s="1" t="s">
        <v>395</v>
      </c>
      <c r="AR32" s="1" t="s">
        <v>396</v>
      </c>
      <c r="AW32" s="5" t="s">
        <v>397</v>
      </c>
      <c r="BC32" s="4" t="s">
        <v>398</v>
      </c>
    </row>
    <row r="33" spans="11:55" ht="28.5" x14ac:dyDescent="0.2">
      <c r="T33" s="1" t="s">
        <v>399</v>
      </c>
      <c r="V33" s="1" t="s">
        <v>400</v>
      </c>
      <c r="X33" s="1" t="s">
        <v>401</v>
      </c>
      <c r="AF33" s="1" t="s">
        <v>402</v>
      </c>
      <c r="AH33" t="s">
        <v>403</v>
      </c>
      <c r="AN33" s="1" t="s">
        <v>404</v>
      </c>
      <c r="AP33" s="1" t="s">
        <v>405</v>
      </c>
      <c r="AR33" s="1" t="s">
        <v>406</v>
      </c>
      <c r="AW33" s="5" t="s">
        <v>407</v>
      </c>
      <c r="BC33" s="5" t="s">
        <v>408</v>
      </c>
    </row>
    <row r="34" spans="11:55" ht="28.5" x14ac:dyDescent="0.15">
      <c r="V34" s="1" t="s">
        <v>409</v>
      </c>
      <c r="X34" s="1" t="s">
        <v>410</v>
      </c>
      <c r="AF34"/>
      <c r="AH34" s="1" t="s">
        <v>411</v>
      </c>
      <c r="AN34" s="1" t="s">
        <v>412</v>
      </c>
      <c r="AP34" s="1" t="s">
        <v>413</v>
      </c>
      <c r="AR34" s="1" t="s">
        <v>414</v>
      </c>
      <c r="AW34" s="5" t="s">
        <v>415</v>
      </c>
      <c r="BC34" s="7" t="s">
        <v>416</v>
      </c>
    </row>
    <row r="35" spans="11:55" ht="28.5" x14ac:dyDescent="0.2">
      <c r="K35"/>
      <c r="V35" s="1" t="s">
        <v>417</v>
      </c>
      <c r="X35" s="1" t="s">
        <v>418</v>
      </c>
      <c r="AF35" s="2" t="s">
        <v>19</v>
      </c>
      <c r="AH35" t="s">
        <v>403</v>
      </c>
      <c r="AN35" s="1" t="s">
        <v>419</v>
      </c>
      <c r="AP35" s="1" t="s">
        <v>420</v>
      </c>
      <c r="AR35" s="1" t="s">
        <v>421</v>
      </c>
      <c r="AW35" s="5" t="s">
        <v>422</v>
      </c>
      <c r="BC35" s="5" t="s">
        <v>423</v>
      </c>
    </row>
    <row r="36" spans="11:55" ht="28.5" x14ac:dyDescent="0.15">
      <c r="K36"/>
      <c r="V36" s="1" t="s">
        <v>424</v>
      </c>
      <c r="X36" s="1" t="s">
        <v>425</v>
      </c>
      <c r="AF36" s="1" t="s">
        <v>298</v>
      </c>
      <c r="AH36" s="1" t="s">
        <v>411</v>
      </c>
      <c r="AN36" s="1" t="s">
        <v>426</v>
      </c>
      <c r="AP36" s="1" t="s">
        <v>427</v>
      </c>
      <c r="AR36" s="1" t="s">
        <v>428</v>
      </c>
      <c r="AW36" s="5" t="s">
        <v>429</v>
      </c>
      <c r="BC36" s="5" t="s">
        <v>430</v>
      </c>
    </row>
    <row r="37" spans="11:55" ht="28.5" x14ac:dyDescent="0.15">
      <c r="V37" s="1" t="s">
        <v>431</v>
      </c>
      <c r="X37" s="1" t="s">
        <v>432</v>
      </c>
      <c r="AF37"/>
      <c r="AH37"/>
      <c r="AN37" s="1" t="s">
        <v>433</v>
      </c>
      <c r="AP37" s="1" t="s">
        <v>434</v>
      </c>
      <c r="AR37" s="1" t="s">
        <v>435</v>
      </c>
      <c r="AW37" s="5" t="s">
        <v>436</v>
      </c>
      <c r="BC37" s="5" t="s">
        <v>437</v>
      </c>
    </row>
    <row r="38" spans="11:55" ht="28.5" x14ac:dyDescent="0.15">
      <c r="V38" s="1" t="s">
        <v>438</v>
      </c>
      <c r="X38" t="s">
        <v>439</v>
      </c>
      <c r="AF38"/>
      <c r="AH38"/>
      <c r="AN38" s="1" t="s">
        <v>440</v>
      </c>
      <c r="AP38" s="1" t="s">
        <v>441</v>
      </c>
      <c r="AR38" s="1" t="s">
        <v>442</v>
      </c>
      <c r="AW38" s="5" t="s">
        <v>443</v>
      </c>
      <c r="BC38" s="5" t="s">
        <v>444</v>
      </c>
    </row>
    <row r="39" spans="11:55" ht="28.5" x14ac:dyDescent="0.15">
      <c r="V39" s="1" t="s">
        <v>445</v>
      </c>
      <c r="X39" s="1" t="s">
        <v>446</v>
      </c>
      <c r="AP39" s="1" t="s">
        <v>447</v>
      </c>
      <c r="AR39" s="1" t="s">
        <v>448</v>
      </c>
      <c r="AW39" s="5" t="s">
        <v>449</v>
      </c>
      <c r="BC39" s="5" t="s">
        <v>450</v>
      </c>
    </row>
    <row r="40" spans="11:55" ht="28.5" x14ac:dyDescent="0.15">
      <c r="V40" s="1" t="s">
        <v>451</v>
      </c>
      <c r="X40" s="1" t="s">
        <v>452</v>
      </c>
      <c r="AH40"/>
      <c r="AP40" s="1" t="s">
        <v>453</v>
      </c>
      <c r="AR40" s="1" t="s">
        <v>454</v>
      </c>
      <c r="AW40" s="5" t="s">
        <v>455</v>
      </c>
      <c r="BC40" s="5" t="s">
        <v>456</v>
      </c>
    </row>
    <row r="41" spans="11:55" ht="28.5" x14ac:dyDescent="0.15">
      <c r="V41" s="1" t="s">
        <v>457</v>
      </c>
      <c r="X41" s="1" t="s">
        <v>458</v>
      </c>
      <c r="AH41"/>
      <c r="AP41" s="1" t="s">
        <v>459</v>
      </c>
      <c r="AR41" s="1" t="s">
        <v>460</v>
      </c>
      <c r="AW41" s="5" t="s">
        <v>461</v>
      </c>
      <c r="BC41" s="5" t="s">
        <v>462</v>
      </c>
    </row>
    <row r="42" spans="11:55" ht="28.5" x14ac:dyDescent="0.15">
      <c r="V42" s="1" t="s">
        <v>463</v>
      </c>
      <c r="X42" s="1" t="s">
        <v>464</v>
      </c>
      <c r="AP42" s="1" t="s">
        <v>465</v>
      </c>
      <c r="AR42" s="1" t="s">
        <v>466</v>
      </c>
      <c r="AW42" s="5" t="s">
        <v>467</v>
      </c>
      <c r="BC42" s="5" t="s">
        <v>468</v>
      </c>
    </row>
    <row r="43" spans="11:55" ht="28.5" x14ac:dyDescent="0.15">
      <c r="V43" s="1" t="s">
        <v>469</v>
      </c>
      <c r="X43" s="1" t="s">
        <v>470</v>
      </c>
      <c r="AP43" s="1" t="s">
        <v>471</v>
      </c>
      <c r="AR43" s="1" t="s">
        <v>472</v>
      </c>
      <c r="AW43" s="5" t="s">
        <v>473</v>
      </c>
      <c r="BC43" s="5" t="s">
        <v>474</v>
      </c>
    </row>
    <row r="44" spans="11:55" ht="28.5" x14ac:dyDescent="0.15">
      <c r="V44" s="1" t="s">
        <v>475</v>
      </c>
      <c r="X44" s="1" t="s">
        <v>476</v>
      </c>
      <c r="AP44" s="1" t="s">
        <v>477</v>
      </c>
      <c r="AR44" s="1" t="s">
        <v>478</v>
      </c>
      <c r="AW44" s="5" t="s">
        <v>479</v>
      </c>
      <c r="BC44" s="5" t="s">
        <v>480</v>
      </c>
    </row>
    <row r="45" spans="11:55" ht="28.5" x14ac:dyDescent="0.15">
      <c r="V45" t="s">
        <v>481</v>
      </c>
      <c r="X45" s="1" t="s">
        <v>482</v>
      </c>
      <c r="AP45" s="1" t="s">
        <v>483</v>
      </c>
      <c r="AR45" s="1" t="s">
        <v>484</v>
      </c>
      <c r="AW45" s="5" t="s">
        <v>485</v>
      </c>
      <c r="BC45" s="5" t="s">
        <v>486</v>
      </c>
    </row>
    <row r="46" spans="11:55" ht="28.5" x14ac:dyDescent="0.15">
      <c r="V46" s="1" t="s">
        <v>487</v>
      </c>
      <c r="X46" s="1" t="s">
        <v>488</v>
      </c>
      <c r="AP46" s="1" t="s">
        <v>489</v>
      </c>
      <c r="AR46" t="s">
        <v>490</v>
      </c>
      <c r="AW46" s="4" t="s">
        <v>491</v>
      </c>
      <c r="BC46" s="5" t="s">
        <v>492</v>
      </c>
    </row>
    <row r="47" spans="11:55" ht="28.5" x14ac:dyDescent="0.15">
      <c r="V47" s="1" t="s">
        <v>493</v>
      </c>
      <c r="AP47" s="1" t="s">
        <v>494</v>
      </c>
      <c r="AR47" t="s">
        <v>495</v>
      </c>
      <c r="AW47" s="4" t="s">
        <v>496</v>
      </c>
      <c r="BC47" s="5" t="s">
        <v>497</v>
      </c>
    </row>
    <row r="48" spans="11:55" ht="28.5" x14ac:dyDescent="0.15">
      <c r="AP48" s="1" t="s">
        <v>498</v>
      </c>
      <c r="AR48" s="1" t="s">
        <v>499</v>
      </c>
      <c r="AW48" s="5" t="s">
        <v>500</v>
      </c>
      <c r="BC48" s="5" t="s">
        <v>501</v>
      </c>
    </row>
    <row r="49" spans="42:55" ht="28.5" x14ac:dyDescent="0.15">
      <c r="AP49" s="1" t="s">
        <v>502</v>
      </c>
      <c r="AR49" s="1" t="s">
        <v>503</v>
      </c>
      <c r="AW49" s="5" t="s">
        <v>504</v>
      </c>
      <c r="BC49" s="5" t="s">
        <v>505</v>
      </c>
    </row>
    <row r="50" spans="42:55" ht="28.5" x14ac:dyDescent="0.15">
      <c r="AP50" s="1" t="s">
        <v>506</v>
      </c>
      <c r="AR50" s="1" t="s">
        <v>507</v>
      </c>
      <c r="AW50" s="5" t="s">
        <v>508</v>
      </c>
      <c r="BC50" s="5" t="s">
        <v>509</v>
      </c>
    </row>
    <row r="51" spans="42:55" ht="28.5" x14ac:dyDescent="0.15">
      <c r="AP51" s="1" t="s">
        <v>510</v>
      </c>
      <c r="AR51" s="1" t="s">
        <v>511</v>
      </c>
      <c r="AW51" s="5" t="s">
        <v>512</v>
      </c>
      <c r="BC51" s="5" t="s">
        <v>513</v>
      </c>
    </row>
    <row r="52" spans="42:55" ht="28.5" x14ac:dyDescent="0.15">
      <c r="AP52" s="1" t="s">
        <v>514</v>
      </c>
      <c r="AR52" s="1" t="s">
        <v>515</v>
      </c>
      <c r="AW52" s="5" t="s">
        <v>516</v>
      </c>
      <c r="BC52" s="5" t="s">
        <v>517</v>
      </c>
    </row>
    <row r="53" spans="42:55" ht="28.5" x14ac:dyDescent="0.15">
      <c r="AP53" s="1" t="s">
        <v>518</v>
      </c>
      <c r="AR53" s="1" t="s">
        <v>519</v>
      </c>
      <c r="AW53" s="5" t="s">
        <v>520</v>
      </c>
      <c r="BC53" s="5" t="s">
        <v>521</v>
      </c>
    </row>
    <row r="54" spans="42:55" ht="28.5" x14ac:dyDescent="0.15">
      <c r="AP54" s="1" t="s">
        <v>522</v>
      </c>
      <c r="AR54" s="1" t="s">
        <v>523</v>
      </c>
      <c r="AW54" s="5" t="s">
        <v>524</v>
      </c>
      <c r="BC54" s="5" t="s">
        <v>525</v>
      </c>
    </row>
    <row r="55" spans="42:55" ht="28.5" x14ac:dyDescent="0.15">
      <c r="AP55" s="1" t="s">
        <v>526</v>
      </c>
      <c r="AR55" s="1" t="s">
        <v>527</v>
      </c>
      <c r="AW55" s="5" t="s">
        <v>528</v>
      </c>
      <c r="BC55" s="5" t="s">
        <v>529</v>
      </c>
    </row>
    <row r="56" spans="42:55" ht="28.5" x14ac:dyDescent="0.15">
      <c r="AP56" s="1" t="s">
        <v>530</v>
      </c>
      <c r="AR56" s="1" t="s">
        <v>531</v>
      </c>
      <c r="AW56" s="5" t="s">
        <v>532</v>
      </c>
      <c r="BC56" s="5" t="s">
        <v>533</v>
      </c>
    </row>
    <row r="57" spans="42:55" ht="28.5" x14ac:dyDescent="0.15">
      <c r="AP57" s="1" t="s">
        <v>534</v>
      </c>
      <c r="AR57" s="1" t="s">
        <v>535</v>
      </c>
      <c r="AW57" s="5" t="s">
        <v>536</v>
      </c>
      <c r="BC57" s="5" t="s">
        <v>537</v>
      </c>
    </row>
    <row r="58" spans="42:55" ht="28.5" x14ac:dyDescent="0.15">
      <c r="AP58" s="1" t="s">
        <v>538</v>
      </c>
      <c r="AR58" s="1" t="s">
        <v>539</v>
      </c>
      <c r="AW58" s="5" t="s">
        <v>540</v>
      </c>
      <c r="BC58" s="5" t="s">
        <v>541</v>
      </c>
    </row>
    <row r="59" spans="42:55" ht="28.5" x14ac:dyDescent="0.15">
      <c r="AP59" s="1" t="s">
        <v>542</v>
      </c>
      <c r="BC59" s="5" t="s">
        <v>543</v>
      </c>
    </row>
    <row r="60" spans="42:55" ht="28.5" x14ac:dyDescent="0.15">
      <c r="AP60" s="1" t="s">
        <v>544</v>
      </c>
      <c r="AW60" s="2" t="s">
        <v>19</v>
      </c>
      <c r="BC60" s="5" t="s">
        <v>545</v>
      </c>
    </row>
    <row r="61" spans="42:55" ht="28.5" x14ac:dyDescent="0.15">
      <c r="AP61" s="1" t="s">
        <v>546</v>
      </c>
      <c r="AW61" s="4" t="s">
        <v>547</v>
      </c>
      <c r="BC61" s="5" t="s">
        <v>548</v>
      </c>
    </row>
    <row r="62" spans="42:55" ht="28.5" x14ac:dyDescent="0.15">
      <c r="AP62" s="1" t="s">
        <v>549</v>
      </c>
      <c r="AW62" s="4" t="s">
        <v>550</v>
      </c>
      <c r="BC62" s="5" t="s">
        <v>551</v>
      </c>
    </row>
    <row r="63" spans="42:55" ht="28.5" x14ac:dyDescent="0.15">
      <c r="AP63" s="1" t="s">
        <v>552</v>
      </c>
      <c r="AW63" s="4" t="s">
        <v>553</v>
      </c>
      <c r="BC63" s="5" t="s">
        <v>554</v>
      </c>
    </row>
    <row r="64" spans="42:55" ht="28.5" x14ac:dyDescent="0.15">
      <c r="AP64" s="1" t="s">
        <v>555</v>
      </c>
      <c r="AW64" s="4" t="s">
        <v>556</v>
      </c>
      <c r="BC64" s="5" t="s">
        <v>557</v>
      </c>
    </row>
    <row r="65" spans="42:55" ht="28.5" x14ac:dyDescent="0.15">
      <c r="AP65" s="1" t="s">
        <v>558</v>
      </c>
      <c r="AW65" s="4" t="s">
        <v>559</v>
      </c>
      <c r="BC65" s="5" t="s">
        <v>560</v>
      </c>
    </row>
    <row r="66" spans="42:55" ht="28.5" x14ac:dyDescent="0.15">
      <c r="AP66" s="1" t="s">
        <v>561</v>
      </c>
      <c r="AW66" s="4" t="s">
        <v>562</v>
      </c>
      <c r="BC66" s="5" t="s">
        <v>563</v>
      </c>
    </row>
    <row r="67" spans="42:55" ht="28.5" x14ac:dyDescent="0.15">
      <c r="AP67" s="1" t="s">
        <v>564</v>
      </c>
      <c r="AW67" s="5" t="s">
        <v>565</v>
      </c>
      <c r="BC67" s="5" t="s">
        <v>566</v>
      </c>
    </row>
    <row r="68" spans="42:55" ht="28.5" x14ac:dyDescent="0.15">
      <c r="AP68" s="1" t="s">
        <v>567</v>
      </c>
      <c r="AW68" s="5" t="s">
        <v>568</v>
      </c>
      <c r="BC68" s="5" t="s">
        <v>569</v>
      </c>
    </row>
    <row r="69" spans="42:55" ht="28.5" x14ac:dyDescent="0.15">
      <c r="AP69" s="1" t="s">
        <v>570</v>
      </c>
      <c r="AW69" s="5" t="s">
        <v>571</v>
      </c>
      <c r="BC69" s="5" t="s">
        <v>572</v>
      </c>
    </row>
    <row r="70" spans="42:55" ht="24" x14ac:dyDescent="0.15">
      <c r="AP70" s="1" t="s">
        <v>573</v>
      </c>
      <c r="AW70" s="5" t="s">
        <v>574</v>
      </c>
      <c r="BC70" s="4" t="s">
        <v>575</v>
      </c>
    </row>
    <row r="71" spans="42:55" ht="24" x14ac:dyDescent="0.15">
      <c r="AP71" s="1" t="s">
        <v>576</v>
      </c>
      <c r="AW71" s="5" t="s">
        <v>577</v>
      </c>
      <c r="BC71" s="4" t="s">
        <v>578</v>
      </c>
    </row>
    <row r="72" spans="42:55" ht="28.5" x14ac:dyDescent="0.15">
      <c r="AP72" s="1" t="s">
        <v>579</v>
      </c>
      <c r="AW72" s="5" t="s">
        <v>580</v>
      </c>
      <c r="BC72" s="5" t="s">
        <v>581</v>
      </c>
    </row>
    <row r="73" spans="42:55" ht="28.5" x14ac:dyDescent="0.15">
      <c r="AP73" s="1" t="s">
        <v>582</v>
      </c>
      <c r="AW73" s="5" t="s">
        <v>583</v>
      </c>
      <c r="BC73" s="5" t="s">
        <v>584</v>
      </c>
    </row>
    <row r="74" spans="42:55" ht="28.5" x14ac:dyDescent="0.15">
      <c r="AP74" s="1" t="s">
        <v>585</v>
      </c>
      <c r="AW74" s="5" t="s">
        <v>586</v>
      </c>
      <c r="BC74" s="5" t="s">
        <v>587</v>
      </c>
    </row>
    <row r="75" spans="42:55" ht="28.5" x14ac:dyDescent="0.15">
      <c r="AW75" s="5" t="s">
        <v>588</v>
      </c>
      <c r="BC75" s="5" t="s">
        <v>589</v>
      </c>
    </row>
    <row r="76" spans="42:55" ht="28.5" x14ac:dyDescent="0.15">
      <c r="AW76" s="5" t="s">
        <v>590</v>
      </c>
      <c r="BC76" s="5" t="s">
        <v>591</v>
      </c>
    </row>
    <row r="77" spans="42:55" ht="28.5" x14ac:dyDescent="0.15">
      <c r="AW77" s="5" t="s">
        <v>592</v>
      </c>
      <c r="BC77" s="5" t="s">
        <v>593</v>
      </c>
    </row>
    <row r="78" spans="42:55" ht="28.5" x14ac:dyDescent="0.15">
      <c r="AW78" s="5" t="s">
        <v>594</v>
      </c>
      <c r="BC78" s="5" t="s">
        <v>595</v>
      </c>
    </row>
    <row r="79" spans="42:55" ht="28.5" x14ac:dyDescent="0.15">
      <c r="AW79" s="5" t="s">
        <v>596</v>
      </c>
      <c r="BC79" s="5" t="s">
        <v>597</v>
      </c>
    </row>
    <row r="80" spans="42:55" ht="28.5" x14ac:dyDescent="0.15">
      <c r="AW80" s="5" t="s">
        <v>598</v>
      </c>
      <c r="BC80" s="5" t="s">
        <v>599</v>
      </c>
    </row>
    <row r="81" spans="49:56" ht="28.5" x14ac:dyDescent="0.15">
      <c r="AW81" s="5" t="s">
        <v>600</v>
      </c>
      <c r="BC81" s="5" t="s">
        <v>601</v>
      </c>
    </row>
    <row r="82" spans="49:56" ht="28.5" x14ac:dyDescent="0.15">
      <c r="AW82" s="5" t="s">
        <v>602</v>
      </c>
      <c r="BC82" s="5" t="s">
        <v>603</v>
      </c>
    </row>
    <row r="83" spans="49:56" ht="28.5" x14ac:dyDescent="0.15">
      <c r="AW83" s="5" t="s">
        <v>604</v>
      </c>
      <c r="BC83" s="5" t="s">
        <v>605</v>
      </c>
    </row>
    <row r="84" spans="49:56" ht="28.5" x14ac:dyDescent="0.15">
      <c r="AW84" s="5" t="s">
        <v>606</v>
      </c>
      <c r="BC84" s="5" t="s">
        <v>607</v>
      </c>
    </row>
    <row r="85" spans="49:56" ht="28.5" x14ac:dyDescent="0.15">
      <c r="AW85" s="5" t="s">
        <v>608</v>
      </c>
      <c r="BC85" s="5" t="s">
        <v>609</v>
      </c>
    </row>
    <row r="86" spans="49:56" ht="28.5" x14ac:dyDescent="0.15">
      <c r="AW86" s="5" t="s">
        <v>610</v>
      </c>
      <c r="BC86" s="5" t="s">
        <v>611</v>
      </c>
    </row>
    <row r="87" spans="49:56" ht="28.5" x14ac:dyDescent="0.15">
      <c r="AW87" s="5" t="s">
        <v>612</v>
      </c>
      <c r="BC87" s="5" t="s">
        <v>613</v>
      </c>
    </row>
    <row r="88" spans="49:56" ht="28.5" x14ac:dyDescent="0.15">
      <c r="AW88" s="5" t="s">
        <v>614</v>
      </c>
      <c r="BC88" s="5" t="s">
        <v>615</v>
      </c>
    </row>
    <row r="89" spans="49:56" ht="28.5" x14ac:dyDescent="0.15">
      <c r="AW89" s="5" t="s">
        <v>616</v>
      </c>
      <c r="BC89" s="5" t="s">
        <v>617</v>
      </c>
    </row>
    <row r="90" spans="49:56" ht="28.5" x14ac:dyDescent="0.15">
      <c r="AW90" s="5" t="s">
        <v>618</v>
      </c>
      <c r="BC90" s="5" t="s">
        <v>619</v>
      </c>
    </row>
    <row r="91" spans="49:56" ht="28.5" x14ac:dyDescent="0.15">
      <c r="AW91" s="5" t="s">
        <v>620</v>
      </c>
      <c r="BC91" s="5" t="s">
        <v>621</v>
      </c>
    </row>
    <row r="92" spans="49:56" ht="28.5" x14ac:dyDescent="0.15">
      <c r="AW92" s="5" t="s">
        <v>622</v>
      </c>
      <c r="BC92" s="5" t="s">
        <v>623</v>
      </c>
    </row>
    <row r="93" spans="49:56" ht="28.5" x14ac:dyDescent="0.15">
      <c r="AW93" s="5" t="s">
        <v>624</v>
      </c>
      <c r="BC93" s="5" t="s">
        <v>625</v>
      </c>
      <c r="BD93" s="5"/>
    </row>
    <row r="94" spans="49:56" ht="28.5" x14ac:dyDescent="0.15">
      <c r="AW94" s="5" t="s">
        <v>626</v>
      </c>
      <c r="BC94" s="5" t="s">
        <v>627</v>
      </c>
    </row>
    <row r="95" spans="49:56" ht="28.5" x14ac:dyDescent="0.15">
      <c r="AW95" s="5" t="s">
        <v>628</v>
      </c>
      <c r="BC95" s="5" t="s">
        <v>629</v>
      </c>
    </row>
    <row r="96" spans="49:56" ht="28.5" x14ac:dyDescent="0.15">
      <c r="AW96" s="5" t="s">
        <v>630</v>
      </c>
      <c r="BC96" s="5" t="s">
        <v>631</v>
      </c>
    </row>
    <row r="97" spans="49:55" ht="28.5" x14ac:dyDescent="0.15">
      <c r="AW97" s="5" t="s">
        <v>632</v>
      </c>
      <c r="BC97" s="5" t="s">
        <v>633</v>
      </c>
    </row>
    <row r="98" spans="49:55" ht="28.5" x14ac:dyDescent="0.15">
      <c r="AW98" s="5" t="s">
        <v>634</v>
      </c>
      <c r="BC98" s="5" t="s">
        <v>635</v>
      </c>
    </row>
    <row r="99" spans="49:55" ht="28.5" x14ac:dyDescent="0.15">
      <c r="AW99" s="5" t="s">
        <v>636</v>
      </c>
      <c r="BC99" s="5" t="s">
        <v>637</v>
      </c>
    </row>
    <row r="100" spans="49:55" ht="28.5" x14ac:dyDescent="0.15">
      <c r="AW100" s="5" t="s">
        <v>638</v>
      </c>
      <c r="BC100" s="5" t="s">
        <v>639</v>
      </c>
    </row>
    <row r="101" spans="49:55" ht="28.5" x14ac:dyDescent="0.15">
      <c r="AW101" s="5" t="s">
        <v>640</v>
      </c>
      <c r="BC101" s="5" t="s">
        <v>641</v>
      </c>
    </row>
    <row r="102" spans="49:55" ht="28.5" x14ac:dyDescent="0.15">
      <c r="AW102" s="5" t="s">
        <v>642</v>
      </c>
      <c r="BC102" s="5" t="s">
        <v>643</v>
      </c>
    </row>
    <row r="103" spans="49:55" ht="28.5" x14ac:dyDescent="0.15">
      <c r="AW103" s="5" t="s">
        <v>644</v>
      </c>
      <c r="BC103" s="5" t="s">
        <v>645</v>
      </c>
    </row>
    <row r="104" spans="49:55" ht="28.5" x14ac:dyDescent="0.15">
      <c r="AW104" s="4" t="s">
        <v>646</v>
      </c>
      <c r="BC104" s="5" t="s">
        <v>647</v>
      </c>
    </row>
    <row r="105" spans="49:55" ht="28.5" x14ac:dyDescent="0.15">
      <c r="AW105" s="4" t="s">
        <v>648</v>
      </c>
      <c r="BC105" s="5" t="s">
        <v>649</v>
      </c>
    </row>
    <row r="106" spans="49:55" ht="28.5" x14ac:dyDescent="0.15">
      <c r="AW106" s="5" t="s">
        <v>650</v>
      </c>
      <c r="BC106" s="5" t="s">
        <v>651</v>
      </c>
    </row>
    <row r="107" spans="49:55" ht="28.5" x14ac:dyDescent="0.15">
      <c r="AW107" s="5" t="s">
        <v>652</v>
      </c>
      <c r="BC107" s="5" t="s">
        <v>653</v>
      </c>
    </row>
    <row r="108" spans="49:55" ht="28.5" x14ac:dyDescent="0.15">
      <c r="AW108" s="5" t="s">
        <v>654</v>
      </c>
      <c r="BC108" s="5" t="s">
        <v>655</v>
      </c>
    </row>
    <row r="109" spans="49:55" ht="28.5" x14ac:dyDescent="0.15">
      <c r="AW109" s="5" t="s">
        <v>656</v>
      </c>
      <c r="BC109" s="5" t="s">
        <v>657</v>
      </c>
    </row>
    <row r="110" spans="49:55" ht="28.5" x14ac:dyDescent="0.15">
      <c r="AW110" s="5" t="s">
        <v>658</v>
      </c>
      <c r="BC110" s="5" t="s">
        <v>659</v>
      </c>
    </row>
    <row r="111" spans="49:55" ht="24" x14ac:dyDescent="0.15">
      <c r="AW111" s="5" t="s">
        <v>660</v>
      </c>
      <c r="BC111" s="4" t="s">
        <v>661</v>
      </c>
    </row>
    <row r="112" spans="49:55" ht="24" x14ac:dyDescent="0.15">
      <c r="AW112" s="5" t="s">
        <v>662</v>
      </c>
      <c r="BC112" s="4" t="s">
        <v>663</v>
      </c>
    </row>
    <row r="113" spans="49:55" ht="24" x14ac:dyDescent="0.15">
      <c r="AW113" s="5" t="s">
        <v>664</v>
      </c>
      <c r="BC113" s="4" t="s">
        <v>665</v>
      </c>
    </row>
    <row r="114" spans="49:55" ht="28.5" x14ac:dyDescent="0.15">
      <c r="AW114" s="5" t="s">
        <v>666</v>
      </c>
      <c r="BC114" s="5" t="s">
        <v>667</v>
      </c>
    </row>
    <row r="115" spans="49:55" ht="28.5" x14ac:dyDescent="0.15">
      <c r="AW115" s="5" t="s">
        <v>668</v>
      </c>
      <c r="BC115" s="5" t="s">
        <v>669</v>
      </c>
    </row>
    <row r="116" spans="49:55" ht="28.5" x14ac:dyDescent="0.15">
      <c r="AW116" s="5" t="s">
        <v>670</v>
      </c>
      <c r="BC116" s="5" t="s">
        <v>671</v>
      </c>
    </row>
    <row r="117" spans="49:55" ht="24" x14ac:dyDescent="0.15">
      <c r="BC117" s="4" t="s">
        <v>672</v>
      </c>
    </row>
    <row r="118" spans="49:55" ht="28.5" x14ac:dyDescent="0.15">
      <c r="BC118" s="5" t="s">
        <v>673</v>
      </c>
    </row>
    <row r="119" spans="49:55" ht="28.5" x14ac:dyDescent="0.15">
      <c r="BC119" s="5" t="s">
        <v>674</v>
      </c>
    </row>
    <row r="120" spans="49:55" ht="28.5" x14ac:dyDescent="0.15">
      <c r="BC120" s="5" t="s">
        <v>675</v>
      </c>
    </row>
    <row r="121" spans="49:55" ht="28.5" x14ac:dyDescent="0.15">
      <c r="BC121" s="5" t="s">
        <v>676</v>
      </c>
    </row>
    <row r="122" spans="49:55" ht="28.5" x14ac:dyDescent="0.15">
      <c r="BC122" s="5" t="s">
        <v>677</v>
      </c>
    </row>
    <row r="123" spans="49:55" ht="28.5" x14ac:dyDescent="0.15">
      <c r="BC123" s="5" t="s">
        <v>678</v>
      </c>
    </row>
    <row r="124" spans="49:55" ht="28.5" x14ac:dyDescent="0.15">
      <c r="BC124" s="5" t="s">
        <v>679</v>
      </c>
    </row>
    <row r="125" spans="49:55" ht="28.5" x14ac:dyDescent="0.15">
      <c r="BC125" s="5" t="s">
        <v>680</v>
      </c>
    </row>
    <row r="126" spans="49:55" ht="28.5" x14ac:dyDescent="0.15">
      <c r="BC126" s="5" t="s">
        <v>681</v>
      </c>
    </row>
    <row r="127" spans="49:55" ht="28.5" x14ac:dyDescent="0.15">
      <c r="BC127" s="5" t="s">
        <v>682</v>
      </c>
    </row>
    <row r="128" spans="49:55" ht="28.5" x14ac:dyDescent="0.15">
      <c r="BC128" s="5" t="s">
        <v>683</v>
      </c>
    </row>
    <row r="129" spans="55:55" ht="28.5" x14ac:dyDescent="0.15">
      <c r="BC129" s="5" t="s">
        <v>684</v>
      </c>
    </row>
    <row r="130" spans="55:55" ht="28.5" x14ac:dyDescent="0.15">
      <c r="BC130" s="5" t="s">
        <v>685</v>
      </c>
    </row>
    <row r="131" spans="55:55" ht="28.5" x14ac:dyDescent="0.15">
      <c r="BC131" s="5" t="s">
        <v>686</v>
      </c>
    </row>
    <row r="132" spans="55:55" ht="28.5" x14ac:dyDescent="0.15">
      <c r="BC132" s="5" t="s">
        <v>687</v>
      </c>
    </row>
    <row r="133" spans="55:55" ht="28.5" x14ac:dyDescent="0.15">
      <c r="BC133" s="5" t="s">
        <v>688</v>
      </c>
    </row>
    <row r="134" spans="55:55" ht="28.5" x14ac:dyDescent="0.15">
      <c r="BC134" s="5" t="s">
        <v>689</v>
      </c>
    </row>
    <row r="135" spans="55:55" ht="28.5" x14ac:dyDescent="0.15">
      <c r="BC135" s="5" t="s">
        <v>690</v>
      </c>
    </row>
    <row r="136" spans="55:55" ht="28.5" x14ac:dyDescent="0.15">
      <c r="BC136" s="5" t="s">
        <v>691</v>
      </c>
    </row>
    <row r="137" spans="55:55" ht="28.5" x14ac:dyDescent="0.15">
      <c r="BC137" s="5" t="s">
        <v>692</v>
      </c>
    </row>
    <row r="138" spans="55:55" ht="28.5" x14ac:dyDescent="0.15">
      <c r="BC138" s="5" t="s">
        <v>693</v>
      </c>
    </row>
    <row r="139" spans="55:55" ht="28.5" x14ac:dyDescent="0.15">
      <c r="BC139" s="5" t="s">
        <v>694</v>
      </c>
    </row>
    <row r="140" spans="55:55" ht="28.5" x14ac:dyDescent="0.15">
      <c r="BC140" s="5" t="s">
        <v>695</v>
      </c>
    </row>
    <row r="141" spans="55:55" ht="28.5" x14ac:dyDescent="0.15">
      <c r="BC141" s="5" t="s">
        <v>696</v>
      </c>
    </row>
    <row r="142" spans="55:55" ht="28.5" x14ac:dyDescent="0.15">
      <c r="BC142" s="5" t="s">
        <v>697</v>
      </c>
    </row>
    <row r="143" spans="55:55" ht="28.5" x14ac:dyDescent="0.15">
      <c r="BC143" s="5" t="s">
        <v>698</v>
      </c>
    </row>
    <row r="144" spans="55:55" ht="28.5" x14ac:dyDescent="0.15">
      <c r="BC144" s="5" t="s">
        <v>699</v>
      </c>
    </row>
    <row r="145" spans="55:55" ht="28.5" x14ac:dyDescent="0.15">
      <c r="BC145" s="5" t="s">
        <v>700</v>
      </c>
    </row>
    <row r="146" spans="55:55" x14ac:dyDescent="0.15">
      <c r="BC146" s="1" t="s">
        <v>701</v>
      </c>
    </row>
    <row r="147" spans="55:55" x14ac:dyDescent="0.15">
      <c r="BC147" s="1" t="s">
        <v>702</v>
      </c>
    </row>
    <row r="148" spans="55:55" x14ac:dyDescent="0.15">
      <c r="BC148" s="1" t="s">
        <v>703</v>
      </c>
    </row>
    <row r="149" spans="55:55" x14ac:dyDescent="0.15">
      <c r="BC149" s="1" t="s">
        <v>704</v>
      </c>
    </row>
    <row r="150" spans="55:55" x14ac:dyDescent="0.15">
      <c r="BC150" s="1" t="s">
        <v>705</v>
      </c>
    </row>
    <row r="151" spans="55:55" x14ac:dyDescent="0.15">
      <c r="BC151" s="1" t="s">
        <v>706</v>
      </c>
    </row>
    <row r="152" spans="55:55" x14ac:dyDescent="0.15">
      <c r="BC152" s="1" t="s">
        <v>707</v>
      </c>
    </row>
    <row r="153" spans="55:55" x14ac:dyDescent="0.15">
      <c r="BC153" s="1" t="s">
        <v>708</v>
      </c>
    </row>
    <row r="154" spans="55:55" x14ac:dyDescent="0.15">
      <c r="BC154" s="1" t="s">
        <v>709</v>
      </c>
    </row>
    <row r="155" spans="55:55" x14ac:dyDescent="0.15">
      <c r="BC155" s="1" t="s">
        <v>710</v>
      </c>
    </row>
    <row r="156" spans="55:55" x14ac:dyDescent="0.15">
      <c r="BC156"/>
    </row>
    <row r="168" spans="55:55" x14ac:dyDescent="0.15">
      <c r="BC168"/>
    </row>
    <row r="173" spans="55:55" x14ac:dyDescent="0.15">
      <c r="BC173"/>
    </row>
  </sheetData>
  <sheetProtection selectLockedCells="1" selectUnlockedCells="1"/>
  <phoneticPr fontId="53"/>
  <pageMargins left="0.7" right="0.7" top="0.75" bottom="0.75" header="0.51180555555555551" footer="0.51180555555555551"/>
  <pageSetup firstPageNumber="0" orientation="portrait" horizontalDpi="300" verticalDpi="300"/>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U143"/>
  <sheetViews>
    <sheetView zoomScale="80" zoomScaleNormal="80" workbookViewId="0">
      <selection activeCell="J6" sqref="J6:L6"/>
    </sheetView>
  </sheetViews>
  <sheetFormatPr defaultColWidth="10.140625" defaultRowHeight="14.1" customHeight="1" x14ac:dyDescent="0.15"/>
  <cols>
    <col min="1" max="16" width="10.140625" style="8"/>
    <col min="17" max="17" width="10.140625" style="9"/>
    <col min="18" max="26" width="10.140625" style="8"/>
    <col min="27" max="27" width="10.140625" style="9"/>
    <col min="28" max="16384" width="10.140625" style="8"/>
  </cols>
  <sheetData>
    <row r="1" spans="1:51" ht="14.1" customHeight="1" x14ac:dyDescent="0.15">
      <c r="A1" s="10"/>
      <c r="B1" s="11"/>
      <c r="C1" s="11"/>
      <c r="D1" s="11"/>
      <c r="E1" s="10"/>
      <c r="F1" s="11"/>
      <c r="G1" s="11"/>
      <c r="H1" s="11"/>
      <c r="I1" s="10"/>
      <c r="J1" s="11"/>
      <c r="K1" s="11"/>
      <c r="L1" s="11"/>
      <c r="M1" s="10"/>
      <c r="N1" s="12"/>
      <c r="O1" s="10"/>
      <c r="P1" s="10"/>
      <c r="Q1" s="10"/>
      <c r="R1" s="10"/>
      <c r="S1" s="13"/>
      <c r="T1" s="13"/>
      <c r="U1" s="13"/>
      <c r="V1" s="13"/>
      <c r="W1" s="13"/>
      <c r="X1" s="13"/>
      <c r="Y1" s="13"/>
      <c r="Z1" s="13"/>
      <c r="AA1" s="13"/>
      <c r="AB1" s="13"/>
      <c r="AC1" s="13"/>
      <c r="AD1" s="13"/>
      <c r="AE1" s="13"/>
      <c r="AF1" s="13"/>
      <c r="AG1" s="13"/>
      <c r="AH1" s="13"/>
      <c r="AI1" s="13"/>
      <c r="AJ1" s="13"/>
      <c r="AK1" s="14"/>
      <c r="AL1"/>
      <c r="AM1"/>
      <c r="AN1"/>
      <c r="AO1"/>
      <c r="AP1"/>
      <c r="AQ1"/>
      <c r="AR1"/>
      <c r="AS1"/>
      <c r="AT1"/>
      <c r="AU1"/>
      <c r="AV1"/>
      <c r="AW1"/>
      <c r="AX1" s="15"/>
    </row>
    <row r="2" spans="1:51" ht="14.1" customHeight="1" x14ac:dyDescent="0.15">
      <c r="A2" s="10"/>
      <c r="B2" s="357" t="s">
        <v>711</v>
      </c>
      <c r="C2" s="357"/>
      <c r="D2" s="357"/>
      <c r="E2" s="357"/>
      <c r="F2" s="357"/>
      <c r="G2" s="357"/>
      <c r="H2" s="357"/>
      <c r="I2" s="357"/>
      <c r="J2" s="358" t="s">
        <v>712</v>
      </c>
      <c r="K2" s="358"/>
      <c r="L2" s="358"/>
      <c r="M2" s="10"/>
      <c r="N2" s="277" t="s">
        <v>713</v>
      </c>
      <c r="O2" s="277"/>
      <c r="P2" s="277"/>
      <c r="Q2" s="277"/>
      <c r="R2" s="10"/>
      <c r="S2" s="13"/>
      <c r="T2" s="359" t="s">
        <v>714</v>
      </c>
      <c r="U2" s="359"/>
      <c r="V2" s="359"/>
      <c r="W2" s="359"/>
      <c r="X2" s="359"/>
      <c r="Y2" s="359"/>
      <c r="Z2" s="359"/>
      <c r="AA2" s="359"/>
      <c r="AB2" s="13"/>
      <c r="AC2" s="13"/>
      <c r="AD2" s="13"/>
      <c r="AE2" s="13"/>
      <c r="AF2" s="13"/>
      <c r="AG2" s="13"/>
      <c r="AH2" s="13"/>
      <c r="AI2" s="13"/>
      <c r="AJ2" s="13"/>
      <c r="AK2" s="16"/>
      <c r="AL2"/>
      <c r="AM2"/>
      <c r="AN2"/>
      <c r="AO2"/>
      <c r="AP2"/>
      <c r="AQ2"/>
      <c r="AR2"/>
      <c r="AS2"/>
      <c r="AT2"/>
      <c r="AU2"/>
      <c r="AV2"/>
      <c r="AW2"/>
      <c r="AX2" s="15"/>
    </row>
    <row r="3" spans="1:51" ht="14.1" customHeight="1" x14ac:dyDescent="0.15">
      <c r="A3" s="10"/>
      <c r="B3" s="360" t="s">
        <v>966</v>
      </c>
      <c r="C3" s="360"/>
      <c r="D3" s="360"/>
      <c r="E3" s="360"/>
      <c r="F3" s="360"/>
      <c r="G3" s="360"/>
      <c r="H3" s="360"/>
      <c r="I3" s="360"/>
      <c r="J3" s="361" t="s">
        <v>951</v>
      </c>
      <c r="K3" s="361"/>
      <c r="L3" s="361"/>
      <c r="M3" s="10"/>
      <c r="N3" s="362" t="s">
        <v>715</v>
      </c>
      <c r="O3" s="362"/>
      <c r="P3" s="363" t="s">
        <v>191</v>
      </c>
      <c r="Q3" s="363"/>
      <c r="R3" s="10"/>
      <c r="S3" s="17"/>
      <c r="T3" s="17"/>
      <c r="U3" s="17"/>
      <c r="V3" s="17"/>
      <c r="W3" s="17"/>
      <c r="X3" s="17"/>
      <c r="Y3" s="17"/>
      <c r="Z3" s="17"/>
      <c r="AA3" s="17"/>
      <c r="AB3" s="13"/>
      <c r="AC3" s="353" t="s">
        <v>716</v>
      </c>
      <c r="AD3" s="353"/>
      <c r="AE3" s="353"/>
      <c r="AF3" s="18" t="s">
        <v>717</v>
      </c>
      <c r="AG3" s="353" t="s">
        <v>716</v>
      </c>
      <c r="AH3" s="353"/>
      <c r="AI3" s="353"/>
      <c r="AJ3" s="18" t="s">
        <v>717</v>
      </c>
      <c r="AK3" s="16"/>
      <c r="AL3"/>
      <c r="AM3"/>
      <c r="AN3"/>
      <c r="AO3"/>
      <c r="AP3"/>
      <c r="AQ3"/>
      <c r="AR3"/>
      <c r="AS3"/>
      <c r="AT3"/>
      <c r="AU3"/>
      <c r="AV3"/>
      <c r="AW3"/>
      <c r="AX3" s="15"/>
    </row>
    <row r="4" spans="1:51" ht="14.1" customHeight="1" x14ac:dyDescent="0.15">
      <c r="A4" s="10"/>
      <c r="B4" s="360"/>
      <c r="C4" s="360"/>
      <c r="D4" s="360"/>
      <c r="E4" s="360"/>
      <c r="F4" s="360"/>
      <c r="G4" s="360"/>
      <c r="H4" s="360"/>
      <c r="I4" s="360"/>
      <c r="J4" s="361"/>
      <c r="K4" s="361"/>
      <c r="L4" s="361"/>
      <c r="M4" s="10"/>
      <c r="N4" s="354" t="s">
        <v>718</v>
      </c>
      <c r="O4" s="354"/>
      <c r="P4" s="355">
        <v>4</v>
      </c>
      <c r="Q4" s="355"/>
      <c r="R4" s="10"/>
      <c r="S4" s="17"/>
      <c r="T4" s="20"/>
      <c r="U4" s="21" t="s">
        <v>719</v>
      </c>
      <c r="V4" s="22"/>
      <c r="W4" s="21" t="s">
        <v>720</v>
      </c>
      <c r="X4" s="23"/>
      <c r="Y4" s="21" t="s">
        <v>721</v>
      </c>
      <c r="Z4" s="24"/>
      <c r="AA4" s="21" t="s">
        <v>722</v>
      </c>
      <c r="AB4" s="13"/>
      <c r="AC4" s="356" t="s">
        <v>34</v>
      </c>
      <c r="AD4" s="356"/>
      <c r="AE4" s="25">
        <f>(AA10*2)</f>
        <v>4</v>
      </c>
      <c r="AF4" s="26" t="str">
        <f>IF(AA16&lt;18,IF(AA16&lt;14,IF(AA16&lt;10,IF(AA16&lt;5,IF(AA16&lt;3,"-2","-1"),0),"+1"),"+2"),"+3")</f>
        <v>-2</v>
      </c>
      <c r="AG4" s="328" t="s">
        <v>287</v>
      </c>
      <c r="AH4" s="328"/>
      <c r="AI4" s="27">
        <f>AA14+AA15</f>
        <v>16</v>
      </c>
      <c r="AJ4" s="26" t="str">
        <f>IF(AA16&lt;18,IF(AA16&lt;14,IF(AA16&lt;10,IF(AA16&lt;5,IF(AA16&lt;3,"-2","-1"),0),"+1"),"+2"),"+3")</f>
        <v>-2</v>
      </c>
      <c r="AK4" s="16"/>
      <c r="AL4"/>
      <c r="AM4"/>
      <c r="AN4"/>
      <c r="AO4"/>
      <c r="AP4"/>
      <c r="AQ4"/>
      <c r="AR4"/>
      <c r="AS4"/>
      <c r="AT4"/>
      <c r="AU4"/>
      <c r="AV4"/>
      <c r="AW4"/>
      <c r="AX4" s="15"/>
    </row>
    <row r="5" spans="1:51" ht="14.1" customHeight="1" x14ac:dyDescent="0.15">
      <c r="A5" s="10"/>
      <c r="B5" s="299" t="s">
        <v>723</v>
      </c>
      <c r="C5" s="299"/>
      <c r="D5" s="349" t="s">
        <v>724</v>
      </c>
      <c r="E5" s="349"/>
      <c r="F5" s="349" t="s">
        <v>725</v>
      </c>
      <c r="G5" s="349"/>
      <c r="H5" s="349" t="s">
        <v>8</v>
      </c>
      <c r="I5" s="349"/>
      <c r="J5" s="350" t="s">
        <v>15</v>
      </c>
      <c r="K5" s="350"/>
      <c r="L5" s="350"/>
      <c r="M5" s="10"/>
      <c r="N5" s="351" t="s">
        <v>726</v>
      </c>
      <c r="O5" s="351"/>
      <c r="P5" s="341" t="s">
        <v>19</v>
      </c>
      <c r="Q5" s="341"/>
      <c r="R5" s="10"/>
      <c r="S5" s="17"/>
      <c r="T5" s="17"/>
      <c r="U5" s="17"/>
      <c r="V5" s="17"/>
      <c r="W5" s="17"/>
      <c r="X5" s="17"/>
      <c r="Y5" s="17"/>
      <c r="Z5" s="17"/>
      <c r="AA5" s="17"/>
      <c r="AB5" s="13"/>
      <c r="AC5" s="328" t="s">
        <v>92</v>
      </c>
      <c r="AD5" s="328"/>
      <c r="AE5" s="27">
        <f>AA10+AA11</f>
        <v>6</v>
      </c>
      <c r="AF5" s="26" t="str">
        <f>IF(AA16&lt;18,IF(AA16&lt;14,IF(AA16&lt;10,IF(AA16&lt;5,IF(AA16&lt;3,"-2","-1"),0),"+1"),"+2"),"+3")</f>
        <v>-2</v>
      </c>
      <c r="AG5" s="328" t="s">
        <v>320</v>
      </c>
      <c r="AH5" s="328"/>
      <c r="AI5" s="27">
        <f>(AA15*2)</f>
        <v>16</v>
      </c>
      <c r="AJ5" s="26" t="str">
        <f>IF(AA16&lt;18,IF(AA16&lt;14,IF(AA16&lt;10,IF(AA16&lt;5,IF(AA16&lt;3,"-2","-1"),0),"+1"),"+2"),"+3")</f>
        <v>-2</v>
      </c>
      <c r="AK5" s="16"/>
      <c r="AL5"/>
      <c r="AM5"/>
      <c r="AN5"/>
      <c r="AO5"/>
      <c r="AP5"/>
      <c r="AQ5"/>
      <c r="AR5"/>
      <c r="AS5"/>
      <c r="AT5"/>
      <c r="AU5"/>
      <c r="AV5"/>
      <c r="AW5"/>
      <c r="AX5" s="15"/>
    </row>
    <row r="6" spans="1:51" ht="14.1" customHeight="1" x14ac:dyDescent="0.15">
      <c r="A6" s="10"/>
      <c r="B6" s="342" t="s">
        <v>952</v>
      </c>
      <c r="C6" s="342"/>
      <c r="D6" s="343">
        <v>12</v>
      </c>
      <c r="E6" s="343"/>
      <c r="F6" s="344">
        <v>163</v>
      </c>
      <c r="G6" s="344"/>
      <c r="H6" s="345" t="s">
        <v>50</v>
      </c>
      <c r="I6" s="345"/>
      <c r="J6" s="346" t="s">
        <v>519</v>
      </c>
      <c r="K6" s="346"/>
      <c r="L6" s="346"/>
      <c r="M6" s="10"/>
      <c r="N6" s="347" t="s">
        <v>727</v>
      </c>
      <c r="O6" s="347"/>
      <c r="P6" s="348" t="s">
        <v>19</v>
      </c>
      <c r="Q6" s="348"/>
      <c r="R6" s="10"/>
      <c r="S6" s="17"/>
      <c r="T6" s="352" t="s">
        <v>728</v>
      </c>
      <c r="U6" s="352"/>
      <c r="V6" s="17"/>
      <c r="W6" s="17"/>
      <c r="X6" s="17"/>
      <c r="Y6" s="17"/>
      <c r="Z6" s="17"/>
      <c r="AA6" s="17"/>
      <c r="AB6" s="13"/>
      <c r="AC6" s="328" t="s">
        <v>136</v>
      </c>
      <c r="AD6" s="328"/>
      <c r="AE6" s="27">
        <f>ROUNDDOWN((AA55/2),0)+AA12</f>
        <v>9</v>
      </c>
      <c r="AF6" s="26" t="str">
        <f>IF(AA16&lt;18,IF(AA16&lt;14,IF(AA16&lt;10,IF(AA16&lt;5,IF(AA16&lt;3,"-2","-1"),0),"+1"),"+2"),"+3")</f>
        <v>-2</v>
      </c>
      <c r="AG6" s="328" t="s">
        <v>348</v>
      </c>
      <c r="AH6" s="328"/>
      <c r="AI6" s="27">
        <f>AA14+AA12</f>
        <v>14</v>
      </c>
      <c r="AJ6" s="26" t="str">
        <f>IF(AA16&lt;18,IF(AA16&lt;14,IF(AA16&lt;10,IF(AA16&lt;5,IF(AA16&lt;3,"-2","-1"),0),"+1"),"+2"),"+3")</f>
        <v>-2</v>
      </c>
      <c r="AK6" s="16"/>
      <c r="AL6"/>
      <c r="AM6"/>
      <c r="AN6"/>
      <c r="AO6"/>
      <c r="AP6"/>
      <c r="AQ6"/>
      <c r="AR6"/>
      <c r="AS6"/>
      <c r="AT6"/>
      <c r="AU6"/>
      <c r="AV6"/>
      <c r="AW6"/>
      <c r="AX6" s="15"/>
    </row>
    <row r="7" spans="1:51" ht="14.1" customHeight="1" x14ac:dyDescent="0.15">
      <c r="A7" s="10"/>
      <c r="B7" s="294" t="s">
        <v>729</v>
      </c>
      <c r="C7" s="294"/>
      <c r="D7" s="334" t="s">
        <v>959</v>
      </c>
      <c r="E7" s="334"/>
      <c r="F7" s="334"/>
      <c r="G7" s="334"/>
      <c r="H7" s="334"/>
      <c r="I7" s="334"/>
      <c r="J7" s="28" t="s">
        <v>5</v>
      </c>
      <c r="K7" s="335" t="s">
        <v>133</v>
      </c>
      <c r="L7" s="335"/>
      <c r="M7" s="10"/>
      <c r="N7" s="336" t="s">
        <v>19</v>
      </c>
      <c r="O7" s="336"/>
      <c r="P7" s="337" t="s">
        <v>19</v>
      </c>
      <c r="Q7" s="337"/>
      <c r="R7" s="10"/>
      <c r="S7" s="13"/>
      <c r="T7" s="338" t="s">
        <v>0</v>
      </c>
      <c r="U7" s="338"/>
      <c r="V7" s="339" t="str">
        <f>C10</f>
        <v>ノーマル</v>
      </c>
      <c r="W7" s="339"/>
      <c r="X7" s="338" t="s">
        <v>2</v>
      </c>
      <c r="Y7" s="338"/>
      <c r="Z7" s="340" t="str">
        <f>F10</f>
        <v>ナチュラル</v>
      </c>
      <c r="AA7" s="340"/>
      <c r="AB7" s="13"/>
      <c r="AC7" s="328" t="s">
        <v>171</v>
      </c>
      <c r="AD7" s="328"/>
      <c r="AE7" s="27">
        <f>ROUNDDOWN((AA55/2),0)+AA15</f>
        <v>11</v>
      </c>
      <c r="AF7" s="26" t="str">
        <f>IF(AA16&lt;18,IF(AA16&lt;14,IF(AA16&lt;10,IF(AA16&lt;5,IF(AA16&lt;3,"-2","-1"),0),"+1"),"+2"),"+3")</f>
        <v>-2</v>
      </c>
      <c r="AG7" s="328" t="s">
        <v>375</v>
      </c>
      <c r="AH7" s="328"/>
      <c r="AI7" s="27">
        <f>ROUNDDOWN((AA55/2),0)+AA13</f>
        <v>7</v>
      </c>
      <c r="AJ7" s="26" t="str">
        <f>IF(AA16&lt;18,IF(AA16&lt;14,IF(AA16&lt;10,IF(AA16&lt;5,IF(AA16&lt;3,"-2","-1"),0),"+1"),"+2"),"+3")</f>
        <v>-2</v>
      </c>
      <c r="AK7" s="16"/>
      <c r="AL7"/>
      <c r="AM7"/>
      <c r="AN7"/>
      <c r="AO7"/>
      <c r="AP7"/>
      <c r="AQ7"/>
      <c r="AR7"/>
      <c r="AS7"/>
      <c r="AT7"/>
      <c r="AU7"/>
      <c r="AV7"/>
      <c r="AW7"/>
      <c r="AX7" s="15"/>
    </row>
    <row r="8" spans="1:51" ht="14.1" customHeight="1" x14ac:dyDescent="0.15">
      <c r="A8" s="10"/>
      <c r="B8" s="294"/>
      <c r="C8" s="294"/>
      <c r="D8" s="334"/>
      <c r="E8" s="334"/>
      <c r="F8" s="334"/>
      <c r="G8" s="334"/>
      <c r="H8" s="334"/>
      <c r="I8" s="334"/>
      <c r="J8" s="29" t="s">
        <v>3</v>
      </c>
      <c r="K8" s="329" t="s">
        <v>25</v>
      </c>
      <c r="L8" s="329"/>
      <c r="M8" s="10"/>
      <c r="N8" s="330" t="s">
        <v>19</v>
      </c>
      <c r="O8" s="330"/>
      <c r="P8" s="331" t="s">
        <v>19</v>
      </c>
      <c r="Q8" s="331"/>
      <c r="R8" s="10"/>
      <c r="S8" s="13"/>
      <c r="T8" s="332" t="s">
        <v>730</v>
      </c>
      <c r="U8" s="332"/>
      <c r="V8" s="332"/>
      <c r="W8" s="332"/>
      <c r="X8" s="332"/>
      <c r="Y8" s="332"/>
      <c r="Z8" s="332"/>
      <c r="AA8" s="30" t="s">
        <v>731</v>
      </c>
      <c r="AB8" s="13"/>
      <c r="AC8" s="328" t="s">
        <v>209</v>
      </c>
      <c r="AD8" s="328"/>
      <c r="AE8" s="27">
        <f>(AA12*2)</f>
        <v>12</v>
      </c>
      <c r="AF8" s="26" t="str">
        <f>IF(AA16&lt;18,IF(AA16&lt;14,IF(AA16&lt;10,IF(AA16&lt;5,IF(AA16&lt;3,"-2","-1"),0),"+1"),"+2"),"+3")</f>
        <v>-2</v>
      </c>
      <c r="AG8" s="328" t="s">
        <v>402</v>
      </c>
      <c r="AH8" s="328"/>
      <c r="AI8" s="27">
        <f>ROUNDDOWN((AA55/2),0)+AA16</f>
        <v>5</v>
      </c>
      <c r="AJ8" s="26" t="str">
        <f>IF(AA16&lt;18,IF(AA16&lt;14,IF(AA16&lt;10,IF(AA16&lt;5,IF(AA16&lt;3,"-2","-1"),0),"+1"),"+2"),"+3")</f>
        <v>-2</v>
      </c>
      <c r="AK8" s="16"/>
      <c r="AL8"/>
      <c r="AM8"/>
      <c r="AN8"/>
      <c r="AO8"/>
      <c r="AP8"/>
      <c r="AQ8"/>
      <c r="AR8"/>
      <c r="AS8"/>
      <c r="AT8"/>
      <c r="AU8"/>
      <c r="AV8"/>
      <c r="AW8"/>
      <c r="AX8" s="15"/>
    </row>
    <row r="9" spans="1:51" ht="14.1" customHeight="1" x14ac:dyDescent="0.15">
      <c r="A9" s="10"/>
      <c r="B9" s="10"/>
      <c r="C9" s="10"/>
      <c r="D9" s="10"/>
      <c r="E9" s="10"/>
      <c r="F9" s="10"/>
      <c r="G9" s="10"/>
      <c r="H9" s="10"/>
      <c r="I9" s="10"/>
      <c r="J9" s="10"/>
      <c r="K9" s="10"/>
      <c r="L9" s="10"/>
      <c r="M9" s="10"/>
      <c r="N9" s="10"/>
      <c r="O9" s="10"/>
      <c r="P9" s="10"/>
      <c r="Q9" s="10"/>
      <c r="R9" s="10"/>
      <c r="S9" s="13"/>
      <c r="T9" s="31"/>
      <c r="U9" s="32" t="s">
        <v>732</v>
      </c>
      <c r="V9" s="32" t="s">
        <v>733</v>
      </c>
      <c r="W9" s="33" t="s">
        <v>734</v>
      </c>
      <c r="X9" s="32" t="s">
        <v>735</v>
      </c>
      <c r="Y9" s="32" t="s">
        <v>736</v>
      </c>
      <c r="Z9" s="32" t="s">
        <v>737</v>
      </c>
      <c r="AA9" s="34" t="s">
        <v>738</v>
      </c>
      <c r="AB9" s="13"/>
      <c r="AC9" s="333" t="s">
        <v>248</v>
      </c>
      <c r="AD9" s="333"/>
      <c r="AE9" s="35">
        <f>AA14+AA13</f>
        <v>12</v>
      </c>
      <c r="AF9" s="36" t="str">
        <f>IF(AA16&lt;18,IF(AA16&lt;14,IF(AA16&lt;10,IF(AA16&lt;5,IF(AA16&lt;3,"-2","-1"),0),"+1"),"+2"),"+3")</f>
        <v>-2</v>
      </c>
      <c r="AG9" s="333" t="s">
        <v>298</v>
      </c>
      <c r="AH9" s="333"/>
      <c r="AI9" s="35">
        <f>(AA16*2)</f>
        <v>4</v>
      </c>
      <c r="AJ9" s="36" t="str">
        <f>IF(AA16&lt;18,IF(AA16&lt;14,IF(AA16&lt;10,IF(AA16&lt;5,IF(AA16&lt;3,"-2","-1"),0),"+1"),"+2"),"+3")</f>
        <v>-2</v>
      </c>
      <c r="AK9" s="16"/>
      <c r="AL9"/>
      <c r="AM9"/>
      <c r="AN9"/>
      <c r="AO9"/>
      <c r="AP9"/>
      <c r="AQ9"/>
      <c r="AR9"/>
      <c r="AS9"/>
      <c r="AT9"/>
      <c r="AU9"/>
      <c r="AV9"/>
      <c r="AW9"/>
      <c r="AX9" s="15"/>
    </row>
    <row r="10" spans="1:51" ht="14.1" customHeight="1" x14ac:dyDescent="0.15">
      <c r="A10" s="10"/>
      <c r="B10" s="308" t="s">
        <v>0</v>
      </c>
      <c r="C10" s="319" t="s">
        <v>21</v>
      </c>
      <c r="D10" s="319"/>
      <c r="E10" s="310" t="s">
        <v>2</v>
      </c>
      <c r="F10" s="320" t="s">
        <v>24</v>
      </c>
      <c r="G10" s="320"/>
      <c r="H10" s="10"/>
      <c r="I10" s="10"/>
      <c r="J10" s="264" t="s">
        <v>739</v>
      </c>
      <c r="K10" s="264"/>
      <c r="L10" s="264"/>
      <c r="M10" s="264"/>
      <c r="N10" s="264"/>
      <c r="O10" s="264"/>
      <c r="P10" s="264"/>
      <c r="Q10" s="264"/>
      <c r="R10" s="10"/>
      <c r="S10" s="13"/>
      <c r="T10" s="37" t="s">
        <v>740</v>
      </c>
      <c r="U10" s="38">
        <v>2</v>
      </c>
      <c r="V10" s="39">
        <v>-1</v>
      </c>
      <c r="W10" s="40">
        <f t="shared" ref="W10:W16" si="0">SUM(U10:V10)</f>
        <v>1</v>
      </c>
      <c r="X10" s="38">
        <f>IF(C10="トランサー",2,0)</f>
        <v>0</v>
      </c>
      <c r="Y10" s="39">
        <v>1</v>
      </c>
      <c r="Z10" s="38">
        <f>IF(F10="サイボーグ",1,0)</f>
        <v>0</v>
      </c>
      <c r="AA10" s="41">
        <f>W10+AA24+SUM(X10:Z10)-T70</f>
        <v>2</v>
      </c>
      <c r="AB10" s="13"/>
      <c r="AC10" s="13"/>
      <c r="AD10" s="13"/>
      <c r="AE10" s="13"/>
      <c r="AF10" s="13"/>
      <c r="AG10" s="13"/>
      <c r="AH10" s="13"/>
      <c r="AI10" s="13"/>
      <c r="AJ10" s="13"/>
      <c r="AK10" s="14"/>
      <c r="AL10"/>
      <c r="AM10"/>
      <c r="AN10"/>
      <c r="AO10"/>
      <c r="AP10"/>
      <c r="AQ10"/>
      <c r="AR10"/>
      <c r="AS10"/>
      <c r="AT10"/>
      <c r="AU10"/>
      <c r="AV10"/>
      <c r="AW10"/>
      <c r="AX10" s="15"/>
    </row>
    <row r="11" spans="1:51" ht="14.1" customHeight="1" x14ac:dyDescent="0.15">
      <c r="A11" s="10"/>
      <c r="B11" s="308"/>
      <c r="C11" s="319"/>
      <c r="D11" s="319"/>
      <c r="E11" s="310"/>
      <c r="F11" s="320"/>
      <c r="G11" s="320"/>
      <c r="H11" s="10"/>
      <c r="I11" s="10"/>
      <c r="J11" s="321" t="s">
        <v>13</v>
      </c>
      <c r="K11" s="321"/>
      <c r="L11" s="322" t="s">
        <v>311</v>
      </c>
      <c r="M11" s="322"/>
      <c r="N11" s="323" t="s">
        <v>741</v>
      </c>
      <c r="O11" s="323"/>
      <c r="P11" s="324" t="s">
        <v>110</v>
      </c>
      <c r="Q11" s="324"/>
      <c r="R11" s="10"/>
      <c r="S11" s="13"/>
      <c r="T11" s="37" t="s">
        <v>742</v>
      </c>
      <c r="U11" s="38">
        <v>2</v>
      </c>
      <c r="V11" s="39">
        <v>1</v>
      </c>
      <c r="W11" s="40">
        <f t="shared" si="0"/>
        <v>3</v>
      </c>
      <c r="X11" s="38">
        <f>IF(C10="サイキッカー",1,0)</f>
        <v>0</v>
      </c>
      <c r="Y11" s="39">
        <v>1</v>
      </c>
      <c r="Z11" s="38">
        <f>IF(F10="ロボット",1,0)</f>
        <v>0</v>
      </c>
      <c r="AA11" s="41">
        <f>W11+AA25+SUM(X11:Z11)-U70</f>
        <v>4</v>
      </c>
      <c r="AB11" s="13"/>
      <c r="AC11" s="13"/>
      <c r="AD11" s="13"/>
      <c r="AE11" s="13"/>
      <c r="AF11" s="13"/>
      <c r="AG11" s="13"/>
      <c r="AH11" s="13"/>
      <c r="AI11" s="13"/>
      <c r="AJ11" s="13"/>
      <c r="AK11" s="14"/>
      <c r="AL11"/>
      <c r="AM11"/>
      <c r="AN11"/>
      <c r="AO11"/>
      <c r="AP11"/>
      <c r="AQ11"/>
      <c r="AR11"/>
      <c r="AS11"/>
      <c r="AT11"/>
      <c r="AU11"/>
      <c r="AV11"/>
      <c r="AW11"/>
      <c r="AX11" s="15"/>
    </row>
    <row r="12" spans="1:51" ht="14.1" customHeight="1" x14ac:dyDescent="0.15">
      <c r="A12" s="10"/>
      <c r="B12" s="42"/>
      <c r="C12" s="10"/>
      <c r="D12" s="10"/>
      <c r="E12" s="10"/>
      <c r="F12" s="10"/>
      <c r="G12" s="10"/>
      <c r="H12" s="10"/>
      <c r="I12" s="10"/>
      <c r="J12" s="321"/>
      <c r="K12" s="321"/>
      <c r="L12" s="325" t="s">
        <v>125</v>
      </c>
      <c r="M12" s="325"/>
      <c r="N12" s="326" t="s">
        <v>743</v>
      </c>
      <c r="O12" s="326"/>
      <c r="P12" s="327" t="s">
        <v>420</v>
      </c>
      <c r="Q12" s="327"/>
      <c r="R12" s="10"/>
      <c r="S12" s="13"/>
      <c r="T12" s="37" t="s">
        <v>744</v>
      </c>
      <c r="U12" s="38">
        <v>2</v>
      </c>
      <c r="V12" s="39">
        <v>2</v>
      </c>
      <c r="W12" s="40">
        <f t="shared" si="0"/>
        <v>4</v>
      </c>
      <c r="X12" s="38">
        <f>IF(C10="エスパー",1,0)+IF(C10="アンノウン",1,0)</f>
        <v>0</v>
      </c>
      <c r="Y12" s="39">
        <v>1</v>
      </c>
      <c r="Z12" s="38">
        <f>IF(F10="コーディネーター",1,0)</f>
        <v>0</v>
      </c>
      <c r="AA12" s="41">
        <f>W12+AA26+SUM(X12:Z12)-V70</f>
        <v>6</v>
      </c>
      <c r="AB12" s="13"/>
      <c r="AC12" s="307" t="s">
        <v>745</v>
      </c>
      <c r="AD12" s="307"/>
      <c r="AE12" s="307"/>
      <c r="AF12" s="307"/>
      <c r="AG12" s="307"/>
      <c r="AH12" s="307"/>
      <c r="AI12" s="307"/>
      <c r="AJ12" s="307"/>
      <c r="AK12" s="14"/>
      <c r="AL12"/>
      <c r="AM12"/>
      <c r="AN12"/>
      <c r="AO12"/>
      <c r="AP12"/>
      <c r="AQ12"/>
      <c r="AR12"/>
      <c r="AS12"/>
      <c r="AT12"/>
      <c r="AU12"/>
      <c r="AV12"/>
      <c r="AW12"/>
      <c r="AX12" s="15"/>
    </row>
    <row r="13" spans="1:51" ht="14.1" customHeight="1" x14ac:dyDescent="0.15">
      <c r="A13" s="10"/>
      <c r="B13" s="308" t="s">
        <v>4</v>
      </c>
      <c r="C13" s="309" t="s">
        <v>26</v>
      </c>
      <c r="D13" s="309"/>
      <c r="E13" s="310" t="s">
        <v>1</v>
      </c>
      <c r="F13" s="311" t="s">
        <v>64</v>
      </c>
      <c r="G13" s="311"/>
      <c r="H13" s="10"/>
      <c r="I13" s="10"/>
      <c r="J13" s="264" t="s">
        <v>746</v>
      </c>
      <c r="K13" s="264"/>
      <c r="L13" s="264"/>
      <c r="M13" s="264"/>
      <c r="N13" s="264"/>
      <c r="O13" s="264"/>
      <c r="P13" s="264"/>
      <c r="Q13" s="264"/>
      <c r="R13" s="10"/>
      <c r="S13" s="13"/>
      <c r="T13" s="37" t="s">
        <v>747</v>
      </c>
      <c r="U13" s="38">
        <v>2</v>
      </c>
      <c r="V13" s="39"/>
      <c r="W13" s="40">
        <f t="shared" si="0"/>
        <v>2</v>
      </c>
      <c r="X13" s="38">
        <f>IF(C10="エスパー",2,0)+IF(C10="クリエイター",1,0)</f>
        <v>0</v>
      </c>
      <c r="Y13" s="39"/>
      <c r="Z13" s="38">
        <f>IF(F10="ナチュラル",1,0)</f>
        <v>1</v>
      </c>
      <c r="AA13" s="41">
        <f>W13+AA27+SUM(X13:Z13)-W70</f>
        <v>4</v>
      </c>
      <c r="AB13" s="13"/>
      <c r="AC13" s="43" t="s">
        <v>748</v>
      </c>
      <c r="AD13" s="39" t="s">
        <v>749</v>
      </c>
      <c r="AE13" s="312" t="s">
        <v>750</v>
      </c>
      <c r="AF13" s="312"/>
      <c r="AG13" s="312" t="s">
        <v>751</v>
      </c>
      <c r="AH13" s="312"/>
      <c r="AI13" s="39" t="s">
        <v>752</v>
      </c>
      <c r="AJ13" s="44" t="s">
        <v>753</v>
      </c>
      <c r="AK13" s="16"/>
      <c r="AL13"/>
      <c r="AM13"/>
      <c r="AN13"/>
      <c r="AO13"/>
      <c r="AP13"/>
      <c r="AQ13"/>
      <c r="AR13"/>
      <c r="AS13"/>
      <c r="AT13"/>
      <c r="AU13"/>
      <c r="AV13"/>
      <c r="AW13"/>
      <c r="AX13" s="15"/>
    </row>
    <row r="14" spans="1:51" ht="14.1" customHeight="1" x14ac:dyDescent="0.15">
      <c r="A14" s="10"/>
      <c r="B14" s="308"/>
      <c r="C14" s="309"/>
      <c r="D14" s="309"/>
      <c r="E14" s="310"/>
      <c r="F14" s="311"/>
      <c r="G14" s="311"/>
      <c r="H14" s="10"/>
      <c r="I14" s="10"/>
      <c r="J14" s="313"/>
      <c r="K14" s="313"/>
      <c r="L14" s="313"/>
      <c r="M14" s="313"/>
      <c r="N14" s="313"/>
      <c r="O14" s="314" t="s">
        <v>754</v>
      </c>
      <c r="P14" s="314"/>
      <c r="Q14" s="45" t="s">
        <v>755</v>
      </c>
      <c r="R14" s="10"/>
      <c r="S14" s="13"/>
      <c r="T14" s="37" t="s">
        <v>756</v>
      </c>
      <c r="U14" s="38">
        <v>2</v>
      </c>
      <c r="V14" s="39">
        <v>5</v>
      </c>
      <c r="W14" s="40">
        <f t="shared" si="0"/>
        <v>7</v>
      </c>
      <c r="X14" s="38">
        <f>IF(C10="クリエイター",2,0)</f>
        <v>0</v>
      </c>
      <c r="Y14" s="39"/>
      <c r="Z14" s="38">
        <f>IF(F10="ハイブリッド",1,0)</f>
        <v>0</v>
      </c>
      <c r="AA14" s="41">
        <f>W14+AA28+SUM(X14:Z14)-X70</f>
        <v>8</v>
      </c>
      <c r="AB14" s="17"/>
      <c r="AC14" s="46" t="s">
        <v>757</v>
      </c>
      <c r="AD14" s="47" t="s">
        <v>758</v>
      </c>
      <c r="AE14" s="315" t="s">
        <v>759</v>
      </c>
      <c r="AF14" s="315"/>
      <c r="AG14" s="315" t="s">
        <v>760</v>
      </c>
      <c r="AH14" s="315"/>
      <c r="AI14" s="47" t="s">
        <v>761</v>
      </c>
      <c r="AJ14" s="48" t="s">
        <v>762</v>
      </c>
      <c r="AK14" s="16"/>
      <c r="AL14"/>
      <c r="AM14"/>
      <c r="AN14"/>
      <c r="AO14"/>
      <c r="AP14"/>
      <c r="AQ14"/>
      <c r="AR14"/>
      <c r="AS14"/>
      <c r="AT14"/>
      <c r="AU14"/>
      <c r="AV14"/>
      <c r="AW14"/>
      <c r="AX14" s="15"/>
      <c r="AY14" s="15"/>
    </row>
    <row r="15" spans="1:51" ht="14.1" customHeight="1" x14ac:dyDescent="0.15">
      <c r="A15" s="10"/>
      <c r="B15" s="10"/>
      <c r="C15" s="10"/>
      <c r="D15" s="10"/>
      <c r="E15" s="10"/>
      <c r="F15" s="10"/>
      <c r="G15" s="10"/>
      <c r="H15" s="10"/>
      <c r="I15" s="10"/>
      <c r="J15" s="313"/>
      <c r="K15" s="313"/>
      <c r="L15" s="313"/>
      <c r="M15" s="313"/>
      <c r="N15" s="313"/>
      <c r="O15" s="49" t="s">
        <v>34</v>
      </c>
      <c r="P15" s="50">
        <f t="shared" ref="P15:P20" si="1">ROUNDDOWN((AE4+AF4)/2,0)</f>
        <v>1</v>
      </c>
      <c r="Q15" s="51"/>
      <c r="R15" s="10"/>
      <c r="S15" s="13"/>
      <c r="T15" s="37" t="s">
        <v>763</v>
      </c>
      <c r="U15" s="38">
        <v>2</v>
      </c>
      <c r="V15" s="39">
        <v>4</v>
      </c>
      <c r="W15" s="40">
        <f t="shared" si="0"/>
        <v>6</v>
      </c>
      <c r="X15" s="38">
        <f>IF(C10="サイキッカー",2,0)+IF(C10="トランサー",1,0)</f>
        <v>0</v>
      </c>
      <c r="Y15" s="39"/>
      <c r="Z15" s="38">
        <f>IF(F10="アンドロイド",1,0)</f>
        <v>0</v>
      </c>
      <c r="AA15" s="41">
        <f>W15+AA29+SUM(X15:Z15)-Y70</f>
        <v>8</v>
      </c>
      <c r="AB15" s="13"/>
      <c r="AC15" s="13"/>
      <c r="AD15" s="13"/>
      <c r="AE15" s="13"/>
      <c r="AF15" s="13"/>
      <c r="AG15" s="13"/>
      <c r="AH15" s="13"/>
      <c r="AI15" s="13"/>
      <c r="AJ15" s="13"/>
      <c r="AK15" s="16"/>
      <c r="AL15"/>
      <c r="AM15"/>
      <c r="AN15"/>
      <c r="AO15"/>
      <c r="AP15"/>
      <c r="AQ15"/>
      <c r="AR15"/>
      <c r="AS15"/>
      <c r="AT15"/>
      <c r="AU15"/>
      <c r="AV15"/>
      <c r="AW15"/>
      <c r="AX15" s="15"/>
      <c r="AY15" s="15"/>
    </row>
    <row r="16" spans="1:51" ht="14.1" customHeight="1" x14ac:dyDescent="0.15">
      <c r="A16" s="10"/>
      <c r="B16" s="235" t="s">
        <v>764</v>
      </c>
      <c r="C16" s="235"/>
      <c r="D16" s="235"/>
      <c r="E16" s="10"/>
      <c r="F16" s="235" t="s">
        <v>765</v>
      </c>
      <c r="G16" s="235"/>
      <c r="H16" s="235"/>
      <c r="I16" s="10"/>
      <c r="J16" s="313"/>
      <c r="K16" s="313"/>
      <c r="L16" s="313"/>
      <c r="M16" s="313"/>
      <c r="N16" s="313"/>
      <c r="O16" s="49" t="s">
        <v>92</v>
      </c>
      <c r="P16" s="50">
        <f t="shared" si="1"/>
        <v>2</v>
      </c>
      <c r="Q16" s="51"/>
      <c r="R16" s="10"/>
      <c r="S16" s="13"/>
      <c r="T16" s="37" t="s">
        <v>766</v>
      </c>
      <c r="U16" s="38">
        <v>2</v>
      </c>
      <c r="V16" s="39">
        <v>-1</v>
      </c>
      <c r="W16" s="40">
        <f t="shared" si="0"/>
        <v>1</v>
      </c>
      <c r="X16" s="38">
        <f>IF(C10="アンノウン",2,0)</f>
        <v>0</v>
      </c>
      <c r="Y16" s="39"/>
      <c r="Z16" s="38">
        <v>0</v>
      </c>
      <c r="AA16" s="41">
        <f>W16+AA30+SUM(X16:Z16)-Z70</f>
        <v>2</v>
      </c>
      <c r="AB16" s="13"/>
      <c r="AC16" s="13"/>
      <c r="AD16" s="13"/>
      <c r="AE16" s="13"/>
      <c r="AF16" s="13"/>
      <c r="AG16" s="13"/>
      <c r="AH16" s="13"/>
      <c r="AI16" s="13"/>
      <c r="AJ16" s="13"/>
      <c r="AK16" s="16"/>
      <c r="AL16"/>
      <c r="AM16"/>
      <c r="AN16"/>
      <c r="AO16"/>
      <c r="AP16"/>
      <c r="AQ16"/>
      <c r="AR16"/>
      <c r="AS16"/>
      <c r="AT16"/>
      <c r="AU16"/>
      <c r="AV16"/>
      <c r="AW16"/>
      <c r="AX16" s="15"/>
      <c r="AY16" s="15"/>
    </row>
    <row r="17" spans="1:51" ht="14.1" customHeight="1" x14ac:dyDescent="0.15">
      <c r="A17" s="10"/>
      <c r="B17" s="278" t="s">
        <v>767</v>
      </c>
      <c r="C17" s="278"/>
      <c r="D17" s="289">
        <f>ABS(AA49)</f>
        <v>8</v>
      </c>
      <c r="E17" s="10"/>
      <c r="F17" s="299" t="s">
        <v>740</v>
      </c>
      <c r="G17" s="299"/>
      <c r="H17" s="52">
        <f t="shared" ref="H17:H23" si="2">AA10</f>
        <v>2</v>
      </c>
      <c r="I17" s="10"/>
      <c r="J17" s="313"/>
      <c r="K17" s="313"/>
      <c r="L17" s="313"/>
      <c r="M17" s="313"/>
      <c r="N17" s="313"/>
      <c r="O17" s="49" t="s">
        <v>136</v>
      </c>
      <c r="P17" s="50">
        <f t="shared" si="1"/>
        <v>3</v>
      </c>
      <c r="Q17" s="51"/>
      <c r="R17" s="10"/>
      <c r="S17" s="13"/>
      <c r="T17" s="53" t="s">
        <v>768</v>
      </c>
      <c r="U17" s="54">
        <f t="shared" ref="U17:AA17" si="3">SUM(U10:U16)</f>
        <v>14</v>
      </c>
      <c r="V17" s="54">
        <f t="shared" si="3"/>
        <v>10</v>
      </c>
      <c r="W17" s="55">
        <f t="shared" si="3"/>
        <v>24</v>
      </c>
      <c r="X17" s="54">
        <f t="shared" si="3"/>
        <v>0</v>
      </c>
      <c r="Y17" s="54">
        <f t="shared" si="3"/>
        <v>3</v>
      </c>
      <c r="Z17" s="54">
        <f t="shared" si="3"/>
        <v>1</v>
      </c>
      <c r="AA17" s="56">
        <f t="shared" si="3"/>
        <v>34</v>
      </c>
      <c r="AB17" s="13"/>
      <c r="AC17" s="287" t="s">
        <v>717</v>
      </c>
      <c r="AD17" s="287"/>
      <c r="AE17" s="287"/>
      <c r="AF17" s="287"/>
      <c r="AG17" s="287"/>
      <c r="AH17" s="287"/>
      <c r="AI17" s="287"/>
      <c r="AJ17" s="287"/>
      <c r="AK17" s="16"/>
      <c r="AL17"/>
      <c r="AM17"/>
      <c r="AN17"/>
      <c r="AO17"/>
      <c r="AP17"/>
      <c r="AQ17"/>
      <c r="AR17"/>
      <c r="AS17"/>
      <c r="AT17"/>
      <c r="AU17"/>
      <c r="AV17"/>
      <c r="AW17"/>
      <c r="AX17" s="15"/>
      <c r="AY17" s="15"/>
    </row>
    <row r="18" spans="1:51" ht="14.1" customHeight="1" x14ac:dyDescent="0.15">
      <c r="A18" s="10"/>
      <c r="B18" s="278"/>
      <c r="C18" s="278"/>
      <c r="D18" s="289"/>
      <c r="E18" s="10"/>
      <c r="F18" s="299" t="s">
        <v>742</v>
      </c>
      <c r="G18" s="299"/>
      <c r="H18" s="52">
        <f t="shared" si="2"/>
        <v>4</v>
      </c>
      <c r="I18" s="10"/>
      <c r="J18" s="313"/>
      <c r="K18" s="313"/>
      <c r="L18" s="313"/>
      <c r="M18" s="313"/>
      <c r="N18" s="313"/>
      <c r="O18" s="49" t="s">
        <v>171</v>
      </c>
      <c r="P18" s="50">
        <f t="shared" si="1"/>
        <v>4</v>
      </c>
      <c r="Q18" s="51"/>
      <c r="R18" s="10"/>
      <c r="S18" s="13"/>
      <c r="T18" s="16"/>
      <c r="U18" s="16">
        <f>28-U17</f>
        <v>14</v>
      </c>
      <c r="V18" s="16">
        <f>10-V17</f>
        <v>0</v>
      </c>
      <c r="W18" s="16"/>
      <c r="X18" s="16">
        <f>3-X17</f>
        <v>3</v>
      </c>
      <c r="Y18" s="16">
        <f>3-Y17</f>
        <v>0</v>
      </c>
      <c r="Z18" s="16">
        <f>1-Z17</f>
        <v>0</v>
      </c>
      <c r="AA18" s="16"/>
      <c r="AB18" s="13"/>
      <c r="AC18" s="304" t="s">
        <v>769</v>
      </c>
      <c r="AD18" s="304"/>
      <c r="AE18" s="305" t="s">
        <v>770</v>
      </c>
      <c r="AF18" s="305"/>
      <c r="AG18" s="305"/>
      <c r="AH18" s="306" t="s">
        <v>771</v>
      </c>
      <c r="AI18" s="306"/>
      <c r="AJ18" s="306"/>
      <c r="AK18" s="16"/>
      <c r="AL18"/>
      <c r="AM18"/>
      <c r="AN18"/>
      <c r="AO18"/>
      <c r="AP18"/>
      <c r="AQ18"/>
      <c r="AR18"/>
      <c r="AS18"/>
      <c r="AT18"/>
      <c r="AU18"/>
      <c r="AV18"/>
      <c r="AW18"/>
      <c r="AX18" s="15"/>
      <c r="AY18" s="15"/>
    </row>
    <row r="19" spans="1:51" ht="14.1" customHeight="1" x14ac:dyDescent="0.15">
      <c r="A19" s="10"/>
      <c r="B19" s="278" t="s">
        <v>772</v>
      </c>
      <c r="C19" s="278"/>
      <c r="D19" s="289">
        <f>ABS(AA50)</f>
        <v>17</v>
      </c>
      <c r="E19" s="10"/>
      <c r="F19" s="299" t="s">
        <v>744</v>
      </c>
      <c r="G19" s="299"/>
      <c r="H19" s="52">
        <f t="shared" si="2"/>
        <v>6</v>
      </c>
      <c r="I19" s="10"/>
      <c r="J19" s="313"/>
      <c r="K19" s="313"/>
      <c r="L19" s="313"/>
      <c r="M19" s="313"/>
      <c r="N19" s="313"/>
      <c r="O19" s="49" t="s">
        <v>209</v>
      </c>
      <c r="P19" s="50">
        <f t="shared" si="1"/>
        <v>5</v>
      </c>
      <c r="Q19" s="51"/>
      <c r="R19" s="10"/>
      <c r="S19" s="13"/>
      <c r="T19" s="13"/>
      <c r="U19" s="317" t="s">
        <v>773</v>
      </c>
      <c r="V19" s="317"/>
      <c r="W19" s="317"/>
      <c r="X19" s="318" t="s">
        <v>774</v>
      </c>
      <c r="Y19" s="318"/>
      <c r="Z19" s="318"/>
      <c r="AA19" s="13"/>
      <c r="AB19" s="13"/>
      <c r="AC19" s="300" t="s">
        <v>775</v>
      </c>
      <c r="AD19" s="300"/>
      <c r="AE19" s="301" t="s">
        <v>770</v>
      </c>
      <c r="AF19" s="301"/>
      <c r="AG19" s="301"/>
      <c r="AH19" s="293" t="s">
        <v>776</v>
      </c>
      <c r="AI19" s="293"/>
      <c r="AJ19" s="293"/>
      <c r="AK19" s="14"/>
      <c r="AL19"/>
      <c r="AM19"/>
      <c r="AN19"/>
      <c r="AO19"/>
      <c r="AP19"/>
      <c r="AQ19"/>
      <c r="AR19"/>
      <c r="AS19"/>
      <c r="AT19"/>
      <c r="AU19"/>
      <c r="AV19"/>
      <c r="AW19"/>
      <c r="AX19" s="15"/>
      <c r="AY19" s="15"/>
    </row>
    <row r="20" spans="1:51" ht="14.1" customHeight="1" x14ac:dyDescent="0.15">
      <c r="A20" s="10"/>
      <c r="B20" s="278"/>
      <c r="C20" s="278"/>
      <c r="D20" s="289"/>
      <c r="E20" s="10"/>
      <c r="F20" s="299" t="s">
        <v>747</v>
      </c>
      <c r="G20" s="299"/>
      <c r="H20" s="52">
        <f t="shared" si="2"/>
        <v>4</v>
      </c>
      <c r="I20" s="10"/>
      <c r="J20" s="313"/>
      <c r="K20" s="313"/>
      <c r="L20" s="313"/>
      <c r="M20" s="313"/>
      <c r="N20" s="313"/>
      <c r="O20" s="49" t="s">
        <v>248</v>
      </c>
      <c r="P20" s="50">
        <f t="shared" si="1"/>
        <v>5</v>
      </c>
      <c r="Q20" s="51"/>
      <c r="R20" s="10"/>
      <c r="S20" s="13"/>
      <c r="T20" s="13"/>
      <c r="U20" s="317"/>
      <c r="V20" s="317"/>
      <c r="W20" s="317"/>
      <c r="X20" s="318"/>
      <c r="Y20" s="318"/>
      <c r="Z20" s="318"/>
      <c r="AA20" s="13"/>
      <c r="AB20" s="13"/>
      <c r="AC20" s="300" t="s">
        <v>777</v>
      </c>
      <c r="AD20" s="300"/>
      <c r="AE20" s="301" t="s">
        <v>770</v>
      </c>
      <c r="AF20" s="301"/>
      <c r="AG20" s="301"/>
      <c r="AH20" s="316" t="s">
        <v>770</v>
      </c>
      <c r="AI20" s="316"/>
      <c r="AJ20" s="316"/>
      <c r="AK20" s="14"/>
      <c r="AL20"/>
      <c r="AM20"/>
      <c r="AN20"/>
      <c r="AO20"/>
      <c r="AP20"/>
      <c r="AQ20"/>
      <c r="AR20"/>
      <c r="AS20"/>
      <c r="AT20"/>
      <c r="AU20"/>
      <c r="AV20"/>
      <c r="AW20"/>
      <c r="AX20" s="15"/>
      <c r="AY20" s="15"/>
    </row>
    <row r="21" spans="1:51" ht="14.1" customHeight="1" x14ac:dyDescent="0.15">
      <c r="A21" s="10"/>
      <c r="B21" s="278" t="s">
        <v>778</v>
      </c>
      <c r="C21" s="278"/>
      <c r="D21" s="298">
        <f>AA51</f>
        <v>15</v>
      </c>
      <c r="E21" s="10"/>
      <c r="F21" s="299" t="s">
        <v>756</v>
      </c>
      <c r="G21" s="299"/>
      <c r="H21" s="52">
        <f t="shared" si="2"/>
        <v>8</v>
      </c>
      <c r="I21" s="10"/>
      <c r="J21" s="313"/>
      <c r="K21" s="313"/>
      <c r="L21" s="313"/>
      <c r="M21" s="313"/>
      <c r="N21" s="313"/>
      <c r="O21" s="49" t="s">
        <v>287</v>
      </c>
      <c r="P21" s="50">
        <f t="shared" ref="P21:P26" si="4">ROUNDDOWN((AI4+AJ4)/2,0)</f>
        <v>7</v>
      </c>
      <c r="Q21" s="51"/>
      <c r="R21" s="10"/>
      <c r="S21" s="13"/>
      <c r="T21" s="13"/>
      <c r="U21" s="13"/>
      <c r="V21" s="13"/>
      <c r="W21" s="13"/>
      <c r="X21" s="13"/>
      <c r="Y21" s="13"/>
      <c r="Z21" s="13"/>
      <c r="AA21" s="13"/>
      <c r="AB21" s="13"/>
      <c r="AC21" s="300" t="s">
        <v>779</v>
      </c>
      <c r="AD21" s="300"/>
      <c r="AE21" s="301" t="s">
        <v>770</v>
      </c>
      <c r="AF21" s="301"/>
      <c r="AG21" s="301"/>
      <c r="AH21" s="293" t="s">
        <v>780</v>
      </c>
      <c r="AI21" s="293"/>
      <c r="AJ21" s="293"/>
      <c r="AK21" s="14"/>
      <c r="AL21"/>
      <c r="AM21"/>
      <c r="AN21"/>
      <c r="AO21"/>
      <c r="AP21"/>
      <c r="AQ21"/>
      <c r="AR21"/>
      <c r="AS21"/>
      <c r="AT21"/>
      <c r="AU21"/>
      <c r="AV21"/>
      <c r="AW21"/>
      <c r="AX21" s="15"/>
      <c r="AY21" s="15"/>
    </row>
    <row r="22" spans="1:51" ht="14.1" customHeight="1" x14ac:dyDescent="0.15">
      <c r="A22" s="10"/>
      <c r="B22" s="278"/>
      <c r="C22" s="278"/>
      <c r="D22" s="298"/>
      <c r="E22" s="10"/>
      <c r="F22" s="299" t="s">
        <v>763</v>
      </c>
      <c r="G22" s="299"/>
      <c r="H22" s="52">
        <f t="shared" si="2"/>
        <v>8</v>
      </c>
      <c r="I22" s="10"/>
      <c r="J22" s="313"/>
      <c r="K22" s="313"/>
      <c r="L22" s="313"/>
      <c r="M22" s="313"/>
      <c r="N22" s="313"/>
      <c r="O22" s="49" t="s">
        <v>320</v>
      </c>
      <c r="P22" s="50">
        <f t="shared" si="4"/>
        <v>7</v>
      </c>
      <c r="Q22" s="51"/>
      <c r="R22" s="10"/>
      <c r="S22" s="13"/>
      <c r="T22" s="302" t="s">
        <v>781</v>
      </c>
      <c r="U22" s="302"/>
      <c r="V22" s="302"/>
      <c r="W22" s="302"/>
      <c r="X22" s="302"/>
      <c r="Y22" s="302"/>
      <c r="Z22" s="58" t="s">
        <v>782</v>
      </c>
      <c r="AA22" s="59">
        <f>5+IF(C10="ノーマル",1,0)</f>
        <v>6</v>
      </c>
      <c r="AB22" s="13"/>
      <c r="AC22" s="300" t="s">
        <v>783</v>
      </c>
      <c r="AD22" s="300"/>
      <c r="AE22" s="303" t="s">
        <v>784</v>
      </c>
      <c r="AF22" s="303"/>
      <c r="AG22" s="303"/>
      <c r="AH22" s="293" t="s">
        <v>785</v>
      </c>
      <c r="AI22" s="293"/>
      <c r="AJ22" s="293"/>
      <c r="AK22" s="14"/>
      <c r="AL22"/>
      <c r="AM22"/>
      <c r="AN22"/>
      <c r="AO22"/>
      <c r="AP22"/>
      <c r="AQ22"/>
      <c r="AR22"/>
      <c r="AS22"/>
      <c r="AT22"/>
      <c r="AU22"/>
      <c r="AV22"/>
      <c r="AW22"/>
      <c r="AX22" s="15"/>
      <c r="AY22" s="15"/>
    </row>
    <row r="23" spans="1:51" ht="14.1" customHeight="1" x14ac:dyDescent="0.15">
      <c r="A23" s="10"/>
      <c r="B23" s="278" t="s">
        <v>786</v>
      </c>
      <c r="C23" s="278"/>
      <c r="D23" s="289">
        <f>AA52</f>
        <v>2</v>
      </c>
      <c r="E23" s="10"/>
      <c r="F23" s="294" t="s">
        <v>766</v>
      </c>
      <c r="G23" s="294"/>
      <c r="H23" s="60">
        <f t="shared" si="2"/>
        <v>2</v>
      </c>
      <c r="I23" s="10"/>
      <c r="J23" s="313"/>
      <c r="K23" s="313"/>
      <c r="L23" s="313"/>
      <c r="M23" s="313"/>
      <c r="N23" s="313"/>
      <c r="O23" s="49" t="s">
        <v>348</v>
      </c>
      <c r="P23" s="50">
        <f t="shared" si="4"/>
        <v>6</v>
      </c>
      <c r="Q23" s="51"/>
      <c r="R23" s="10"/>
      <c r="S23" s="13"/>
      <c r="T23" s="61" t="s">
        <v>787</v>
      </c>
      <c r="U23" s="62" t="s">
        <v>953</v>
      </c>
      <c r="V23" s="62" t="s">
        <v>956</v>
      </c>
      <c r="W23" s="62" t="s">
        <v>958</v>
      </c>
      <c r="X23" s="62" t="s">
        <v>957</v>
      </c>
      <c r="Y23" s="62" t="s">
        <v>971</v>
      </c>
      <c r="Z23" s="62"/>
      <c r="AA23" s="63" t="s">
        <v>788</v>
      </c>
      <c r="AB23" s="13"/>
      <c r="AC23" s="295" t="s">
        <v>789</v>
      </c>
      <c r="AD23" s="295"/>
      <c r="AE23" s="296" t="s">
        <v>784</v>
      </c>
      <c r="AF23" s="296"/>
      <c r="AG23" s="296"/>
      <c r="AH23" s="297" t="s">
        <v>790</v>
      </c>
      <c r="AI23" s="297"/>
      <c r="AJ23" s="297"/>
      <c r="AK23" s="14"/>
      <c r="AL23"/>
      <c r="AM23"/>
      <c r="AN23"/>
      <c r="AO23"/>
      <c r="AP23"/>
      <c r="AQ23"/>
      <c r="AR23"/>
      <c r="AS23"/>
      <c r="AT23"/>
      <c r="AU23"/>
      <c r="AV23"/>
      <c r="AW23"/>
      <c r="AX23" s="15"/>
      <c r="AY23" s="15"/>
    </row>
    <row r="24" spans="1:51" ht="14.1" customHeight="1" x14ac:dyDescent="0.15">
      <c r="A24" s="10"/>
      <c r="B24" s="278"/>
      <c r="C24" s="278"/>
      <c r="D24" s="289"/>
      <c r="E24" s="10"/>
      <c r="F24" s="10"/>
      <c r="G24" s="10"/>
      <c r="H24" s="10"/>
      <c r="I24" s="10"/>
      <c r="J24" s="313"/>
      <c r="K24" s="313"/>
      <c r="L24" s="313"/>
      <c r="M24" s="313"/>
      <c r="N24" s="313"/>
      <c r="O24" s="49" t="s">
        <v>375</v>
      </c>
      <c r="P24" s="50">
        <f t="shared" si="4"/>
        <v>2</v>
      </c>
      <c r="Q24" s="51"/>
      <c r="R24" s="10"/>
      <c r="S24" s="13"/>
      <c r="T24" s="64" t="str">
        <f t="shared" ref="T24:T30" si="5">T10</f>
        <v>筋力</v>
      </c>
      <c r="U24" s="39"/>
      <c r="V24" s="65"/>
      <c r="W24" s="65"/>
      <c r="X24" s="65"/>
      <c r="Y24" s="65"/>
      <c r="Z24" s="65"/>
      <c r="AA24" s="26">
        <f t="shared" ref="AA24:AA31" si="6">SUM(U24:Z24)</f>
        <v>0</v>
      </c>
      <c r="AB24" s="13"/>
      <c r="AC24" s="13"/>
      <c r="AD24" s="13"/>
      <c r="AE24" s="13"/>
      <c r="AF24" s="13"/>
      <c r="AG24" s="13"/>
      <c r="AH24" s="13"/>
      <c r="AI24" s="13"/>
      <c r="AJ24" s="13"/>
      <c r="AK24" s="14"/>
      <c r="AL24"/>
      <c r="AM24"/>
      <c r="AN24"/>
      <c r="AO24"/>
      <c r="AP24"/>
      <c r="AQ24"/>
      <c r="AR24"/>
      <c r="AS24"/>
      <c r="AT24"/>
      <c r="AU24"/>
      <c r="AV24"/>
      <c r="AW24"/>
      <c r="AX24" s="15"/>
      <c r="AY24" s="15"/>
    </row>
    <row r="25" spans="1:51" ht="14.1" customHeight="1" x14ac:dyDescent="0.15">
      <c r="A25" s="10"/>
      <c r="B25" s="278" t="s">
        <v>791</v>
      </c>
      <c r="C25" s="278"/>
      <c r="D25" s="289">
        <f>AA53</f>
        <v>2</v>
      </c>
      <c r="E25" s="10"/>
      <c r="F25" s="290" t="s">
        <v>792</v>
      </c>
      <c r="G25" s="290"/>
      <c r="H25" s="291">
        <f>AA58</f>
        <v>6</v>
      </c>
      <c r="I25" s="10"/>
      <c r="J25" s="313"/>
      <c r="K25" s="313"/>
      <c r="L25" s="313"/>
      <c r="M25" s="313"/>
      <c r="N25" s="313"/>
      <c r="O25" s="49" t="s">
        <v>402</v>
      </c>
      <c r="P25" s="50">
        <f t="shared" si="4"/>
        <v>1</v>
      </c>
      <c r="Q25" s="51"/>
      <c r="R25" s="10"/>
      <c r="S25" s="13"/>
      <c r="T25" s="64" t="str">
        <f t="shared" si="5"/>
        <v>耐久</v>
      </c>
      <c r="U25" s="39"/>
      <c r="V25" s="65"/>
      <c r="W25" s="65"/>
      <c r="X25" s="65"/>
      <c r="Y25" s="65"/>
      <c r="Z25" s="65"/>
      <c r="AA25" s="26">
        <f t="shared" si="6"/>
        <v>0</v>
      </c>
      <c r="AB25" s="13"/>
      <c r="AC25" s="13"/>
      <c r="AD25" s="13"/>
      <c r="AE25" s="13"/>
      <c r="AF25" s="13"/>
      <c r="AG25" s="13"/>
      <c r="AH25" s="13"/>
      <c r="AI25" s="13"/>
      <c r="AJ25" s="13"/>
      <c r="AK25" s="14"/>
      <c r="AL25"/>
      <c r="AM25"/>
      <c r="AN25"/>
      <c r="AO25"/>
      <c r="AP25"/>
      <c r="AQ25"/>
      <c r="AR25"/>
      <c r="AS25"/>
      <c r="AT25"/>
      <c r="AU25"/>
      <c r="AV25"/>
      <c r="AW25"/>
      <c r="AX25" s="15"/>
      <c r="AY25" s="15"/>
    </row>
    <row r="26" spans="1:51" ht="14.1" customHeight="1" x14ac:dyDescent="0.15">
      <c r="A26" s="10"/>
      <c r="B26" s="278"/>
      <c r="C26" s="278"/>
      <c r="D26" s="289"/>
      <c r="E26" s="10"/>
      <c r="F26" s="290"/>
      <c r="G26" s="290"/>
      <c r="H26" s="291"/>
      <c r="I26" s="10"/>
      <c r="J26" s="313"/>
      <c r="K26" s="313"/>
      <c r="L26" s="313"/>
      <c r="M26" s="313"/>
      <c r="N26" s="313"/>
      <c r="O26" s="66" t="s">
        <v>298</v>
      </c>
      <c r="P26" s="67">
        <f t="shared" si="4"/>
        <v>1</v>
      </c>
      <c r="Q26" s="68"/>
      <c r="R26" s="10"/>
      <c r="S26" s="13"/>
      <c r="T26" s="64" t="str">
        <f t="shared" si="5"/>
        <v>知力</v>
      </c>
      <c r="U26" s="39"/>
      <c r="V26" s="65"/>
      <c r="W26" s="65"/>
      <c r="X26" s="65">
        <v>1</v>
      </c>
      <c r="Y26" s="65"/>
      <c r="Z26" s="65"/>
      <c r="AA26" s="26">
        <f t="shared" si="6"/>
        <v>1</v>
      </c>
      <c r="AB26" s="13"/>
      <c r="AC26" s="13"/>
      <c r="AD26" s="13"/>
      <c r="AE26" s="13"/>
      <c r="AF26" s="13"/>
      <c r="AG26" s="13"/>
      <c r="AH26" s="13"/>
      <c r="AI26" s="13"/>
      <c r="AJ26" s="13"/>
      <c r="AK26" s="14"/>
      <c r="AL26"/>
      <c r="AM26"/>
      <c r="AN26"/>
      <c r="AO26"/>
      <c r="AP26"/>
      <c r="AQ26"/>
      <c r="AR26"/>
      <c r="AS26"/>
      <c r="AT26"/>
      <c r="AU26"/>
      <c r="AV26"/>
      <c r="AW26"/>
      <c r="AX26" s="15"/>
      <c r="AY26" s="15"/>
    </row>
    <row r="27" spans="1:51" ht="14.1" customHeight="1" x14ac:dyDescent="0.15">
      <c r="A27" s="10"/>
      <c r="B27" s="269" t="s">
        <v>793</v>
      </c>
      <c r="C27" s="269"/>
      <c r="D27" s="292">
        <f>AA54</f>
        <v>6</v>
      </c>
      <c r="E27" s="10"/>
      <c r="F27" s="269" t="s">
        <v>794</v>
      </c>
      <c r="G27" s="269"/>
      <c r="H27" s="292">
        <f>AA59</f>
        <v>2</v>
      </c>
      <c r="I27" s="10"/>
      <c r="J27" s="313"/>
      <c r="K27" s="313"/>
      <c r="L27" s="313"/>
      <c r="M27" s="313"/>
      <c r="N27" s="313"/>
      <c r="O27" s="264" t="s">
        <v>787</v>
      </c>
      <c r="P27" s="264"/>
      <c r="Q27" s="264"/>
      <c r="R27" s="10"/>
      <c r="S27" s="13"/>
      <c r="T27" s="64" t="str">
        <f t="shared" si="5"/>
        <v>精神</v>
      </c>
      <c r="U27" s="39"/>
      <c r="V27" s="65"/>
      <c r="W27" s="65">
        <v>1</v>
      </c>
      <c r="X27" s="65"/>
      <c r="Y27" s="65"/>
      <c r="Z27" s="65"/>
      <c r="AA27" s="26">
        <f t="shared" si="6"/>
        <v>1</v>
      </c>
      <c r="AB27" s="13"/>
      <c r="AC27" s="286" t="s">
        <v>795</v>
      </c>
      <c r="AD27" s="286"/>
      <c r="AE27" s="286"/>
      <c r="AF27" s="286"/>
      <c r="AG27" s="286"/>
      <c r="AH27" s="286"/>
      <c r="AI27" s="286"/>
      <c r="AJ27" s="286"/>
      <c r="AK27" s="14"/>
      <c r="AL27"/>
      <c r="AM27"/>
      <c r="AN27"/>
      <c r="AO27"/>
      <c r="AP27"/>
      <c r="AQ27"/>
      <c r="AR27"/>
      <c r="AS27"/>
      <c r="AT27"/>
      <c r="AU27"/>
      <c r="AV27"/>
      <c r="AW27"/>
      <c r="AX27" s="15"/>
      <c r="AY27" s="15"/>
    </row>
    <row r="28" spans="1:51" ht="14.1" customHeight="1" x14ac:dyDescent="0.15">
      <c r="A28" s="10"/>
      <c r="B28" s="269"/>
      <c r="C28" s="269"/>
      <c r="D28" s="292"/>
      <c r="E28" s="10"/>
      <c r="F28" s="269"/>
      <c r="G28" s="269"/>
      <c r="H28" s="292"/>
      <c r="I28" s="10"/>
      <c r="J28" s="313"/>
      <c r="K28" s="313"/>
      <c r="L28" s="313"/>
      <c r="M28" s="313"/>
      <c r="N28" s="313"/>
      <c r="O28" s="283" t="str">
        <f>U23</f>
        <v>逃げ足</v>
      </c>
      <c r="P28" s="283"/>
      <c r="Q28" s="283"/>
      <c r="R28" s="10"/>
      <c r="S28" s="13"/>
      <c r="T28" s="64" t="str">
        <f t="shared" si="5"/>
        <v>器用</v>
      </c>
      <c r="U28" s="39"/>
      <c r="V28" s="65"/>
      <c r="W28" s="65"/>
      <c r="X28" s="65">
        <v>1</v>
      </c>
      <c r="Y28" s="65"/>
      <c r="Z28" s="65"/>
      <c r="AA28" s="26">
        <f t="shared" si="6"/>
        <v>1</v>
      </c>
      <c r="AB28" s="13"/>
      <c r="AC28" s="13"/>
      <c r="AD28" s="13"/>
      <c r="AE28" s="13"/>
      <c r="AF28" s="13"/>
      <c r="AG28" s="13"/>
      <c r="AH28" s="13"/>
      <c r="AI28" s="13"/>
      <c r="AJ28" s="13"/>
      <c r="AK28" s="14"/>
      <c r="AL28"/>
      <c r="AM28"/>
      <c r="AN28"/>
      <c r="AO28"/>
      <c r="AP28"/>
      <c r="AQ28"/>
      <c r="AR28"/>
      <c r="AS28"/>
      <c r="AT28"/>
      <c r="AU28"/>
      <c r="AV28"/>
      <c r="AW28"/>
      <c r="AX28" s="15"/>
      <c r="AY28" s="15"/>
    </row>
    <row r="29" spans="1:51" ht="14.1" customHeight="1" x14ac:dyDescent="0.15">
      <c r="A29" s="10"/>
      <c r="B29" s="10"/>
      <c r="C29" s="10"/>
      <c r="D29" s="10"/>
      <c r="E29" s="10"/>
      <c r="F29" s="10"/>
      <c r="G29" s="10"/>
      <c r="H29" s="10"/>
      <c r="I29" s="10"/>
      <c r="J29" s="313"/>
      <c r="K29" s="313"/>
      <c r="L29" s="313"/>
      <c r="M29" s="313"/>
      <c r="N29" s="313"/>
      <c r="O29" s="283" t="str">
        <f>V23</f>
        <v>親の七光り</v>
      </c>
      <c r="P29" s="283"/>
      <c r="Q29" s="283"/>
      <c r="R29" s="10"/>
      <c r="S29" s="13"/>
      <c r="T29" s="64" t="str">
        <f t="shared" si="5"/>
        <v>敏捷</v>
      </c>
      <c r="U29" s="39">
        <v>2</v>
      </c>
      <c r="V29" s="65"/>
      <c r="W29" s="65"/>
      <c r="X29" s="65"/>
      <c r="Y29" s="65"/>
      <c r="Z29" s="65"/>
      <c r="AA29" s="26">
        <f t="shared" si="6"/>
        <v>2</v>
      </c>
      <c r="AB29" s="13"/>
      <c r="AC29" s="287" t="s">
        <v>796</v>
      </c>
      <c r="AD29" s="287"/>
      <c r="AE29" s="288" t="s">
        <v>797</v>
      </c>
      <c r="AF29" s="288"/>
      <c r="AG29" s="288"/>
      <c r="AH29" s="288"/>
      <c r="AI29" s="288"/>
      <c r="AJ29" s="288"/>
      <c r="AK29" s="14"/>
      <c r="AL29"/>
      <c r="AM29"/>
      <c r="AN29"/>
      <c r="AO29"/>
      <c r="AP29"/>
      <c r="AQ29"/>
      <c r="AR29"/>
      <c r="AS29"/>
      <c r="AT29"/>
      <c r="AU29"/>
      <c r="AV29"/>
      <c r="AW29"/>
      <c r="AX29" s="15"/>
      <c r="AY29" s="15"/>
    </row>
    <row r="30" spans="1:51" ht="14.1" customHeight="1" x14ac:dyDescent="0.15">
      <c r="A30" s="10"/>
      <c r="B30" s="235" t="s">
        <v>798</v>
      </c>
      <c r="C30" s="235"/>
      <c r="D30" s="235"/>
      <c r="E30" s="10"/>
      <c r="F30" s="235" t="s">
        <v>799</v>
      </c>
      <c r="G30" s="235"/>
      <c r="H30" s="235"/>
      <c r="I30" s="10"/>
      <c r="J30" s="313"/>
      <c r="K30" s="313"/>
      <c r="L30" s="313"/>
      <c r="M30" s="313"/>
      <c r="N30" s="313"/>
      <c r="O30" s="283" t="str">
        <f>W23</f>
        <v>自尊心</v>
      </c>
      <c r="P30" s="283"/>
      <c r="Q30" s="283"/>
      <c r="R30" s="10"/>
      <c r="S30" s="13"/>
      <c r="T30" s="64" t="str">
        <f t="shared" si="5"/>
        <v>運</v>
      </c>
      <c r="U30" s="39"/>
      <c r="V30" s="65">
        <v>1</v>
      </c>
      <c r="W30" s="65"/>
      <c r="X30" s="65"/>
      <c r="Y30" s="65"/>
      <c r="Z30" s="65"/>
      <c r="AA30" s="26">
        <f t="shared" si="6"/>
        <v>1</v>
      </c>
      <c r="AB30" s="13"/>
      <c r="AC30" s="284" t="s">
        <v>34</v>
      </c>
      <c r="AD30" s="284"/>
      <c r="AE30" s="285" t="s">
        <v>800</v>
      </c>
      <c r="AF30" s="285"/>
      <c r="AG30" s="285"/>
      <c r="AH30" s="285"/>
      <c r="AI30" s="285"/>
      <c r="AJ30" s="285"/>
      <c r="AK30" s="14"/>
      <c r="AL30"/>
      <c r="AM30"/>
      <c r="AN30"/>
      <c r="AO30"/>
      <c r="AP30"/>
      <c r="AQ30"/>
      <c r="AR30"/>
      <c r="AS30"/>
      <c r="AT30"/>
      <c r="AU30"/>
      <c r="AV30"/>
      <c r="AW30"/>
      <c r="AX30" s="15"/>
      <c r="AY30" s="15"/>
    </row>
    <row r="31" spans="1:51" ht="14.1" customHeight="1" x14ac:dyDescent="0.15">
      <c r="A31" s="10"/>
      <c r="B31" s="278" t="s">
        <v>801</v>
      </c>
      <c r="C31" s="279">
        <f>AA55</f>
        <v>6</v>
      </c>
      <c r="D31" s="280">
        <f>IF(AA16&lt;14,1,2)</f>
        <v>1</v>
      </c>
      <c r="E31" s="10"/>
      <c r="F31" s="278" t="s">
        <v>802</v>
      </c>
      <c r="G31" s="281">
        <f>V38</f>
        <v>1</v>
      </c>
      <c r="H31" s="282">
        <f>W38</f>
        <v>0</v>
      </c>
      <c r="I31" s="10"/>
      <c r="J31" s="313"/>
      <c r="K31" s="313"/>
      <c r="L31" s="313"/>
      <c r="M31" s="313"/>
      <c r="N31" s="313"/>
      <c r="O31" s="283" t="str">
        <f>X23</f>
        <v>立ち回りの上手さ</v>
      </c>
      <c r="P31" s="283"/>
      <c r="Q31" s="283"/>
      <c r="R31" s="10"/>
      <c r="S31" s="13"/>
      <c r="T31" s="69" t="s">
        <v>803</v>
      </c>
      <c r="U31" s="70">
        <f t="shared" ref="U31:Z31" si="7">SUM(U24:U30)</f>
        <v>2</v>
      </c>
      <c r="V31" s="70">
        <f t="shared" si="7"/>
        <v>1</v>
      </c>
      <c r="W31" s="70">
        <f t="shared" si="7"/>
        <v>1</v>
      </c>
      <c r="X31" s="70">
        <f t="shared" si="7"/>
        <v>2</v>
      </c>
      <c r="Y31" s="70">
        <f t="shared" si="7"/>
        <v>0</v>
      </c>
      <c r="Z31" s="70">
        <f t="shared" si="7"/>
        <v>0</v>
      </c>
      <c r="AA31" s="36">
        <f t="shared" si="6"/>
        <v>6</v>
      </c>
      <c r="AB31" s="13"/>
      <c r="AC31" s="257" t="s">
        <v>136</v>
      </c>
      <c r="AD31" s="257"/>
      <c r="AE31" s="255" t="s">
        <v>804</v>
      </c>
      <c r="AF31" s="255"/>
      <c r="AG31" s="255"/>
      <c r="AH31" s="255"/>
      <c r="AI31" s="255"/>
      <c r="AJ31" s="255"/>
      <c r="AK31" s="14"/>
      <c r="AL31"/>
      <c r="AM31"/>
      <c r="AN31"/>
      <c r="AO31"/>
      <c r="AP31"/>
      <c r="AQ31"/>
      <c r="AR31"/>
      <c r="AS31"/>
      <c r="AT31"/>
      <c r="AU31"/>
      <c r="AV31"/>
      <c r="AW31"/>
      <c r="AX31" s="15"/>
      <c r="AY31" s="15"/>
    </row>
    <row r="32" spans="1:51" ht="14.1" customHeight="1" x14ac:dyDescent="0.15">
      <c r="A32" s="10"/>
      <c r="B32" s="278"/>
      <c r="C32" s="279"/>
      <c r="D32" s="280"/>
      <c r="E32" s="10"/>
      <c r="F32" s="278"/>
      <c r="G32" s="281"/>
      <c r="H32" s="282"/>
      <c r="I32" s="10"/>
      <c r="J32" s="313"/>
      <c r="K32" s="313"/>
      <c r="L32" s="313"/>
      <c r="M32" s="313"/>
      <c r="N32" s="313"/>
      <c r="O32" s="283" t="str">
        <f>Y23</f>
        <v>電脳ゲーム好き</v>
      </c>
      <c r="P32" s="283"/>
      <c r="Q32" s="283"/>
      <c r="R32" s="10"/>
      <c r="S32" s="71"/>
      <c r="T32" s="16"/>
      <c r="U32" s="72"/>
      <c r="V32" s="13"/>
      <c r="W32" s="13"/>
      <c r="X32" s="73"/>
      <c r="Y32" s="73"/>
      <c r="Z32" s="73"/>
      <c r="AA32" s="74">
        <f>AA22-AA31</f>
        <v>0</v>
      </c>
      <c r="AB32" s="13"/>
      <c r="AC32" s="257" t="s">
        <v>402</v>
      </c>
      <c r="AD32" s="257"/>
      <c r="AE32" s="255" t="s">
        <v>805</v>
      </c>
      <c r="AF32" s="255"/>
      <c r="AG32" s="255"/>
      <c r="AH32" s="255"/>
      <c r="AI32" s="255"/>
      <c r="AJ32" s="255"/>
      <c r="AK32" s="14"/>
      <c r="AL32"/>
      <c r="AM32"/>
      <c r="AN32"/>
      <c r="AO32"/>
      <c r="AP32"/>
      <c r="AQ32"/>
      <c r="AR32"/>
      <c r="AS32"/>
      <c r="AT32"/>
      <c r="AU32"/>
      <c r="AV32"/>
      <c r="AW32"/>
      <c r="AX32" s="15"/>
      <c r="AY32" s="15"/>
    </row>
    <row r="33" spans="1:255" ht="14.1" customHeight="1" x14ac:dyDescent="0.15">
      <c r="A33" s="10"/>
      <c r="B33" s="278" t="s">
        <v>806</v>
      </c>
      <c r="C33" s="279">
        <f>AA56</f>
        <v>10</v>
      </c>
      <c r="D33" s="280">
        <f>IF(AA16&lt;14,1,2)</f>
        <v>1</v>
      </c>
      <c r="E33" s="10"/>
      <c r="F33" s="278" t="s">
        <v>807</v>
      </c>
      <c r="G33" s="281">
        <f>V39</f>
        <v>3</v>
      </c>
      <c r="H33" s="282">
        <f>W39</f>
        <v>0</v>
      </c>
      <c r="I33" s="10"/>
      <c r="J33" s="313"/>
      <c r="K33" s="313"/>
      <c r="L33" s="313"/>
      <c r="M33" s="313"/>
      <c r="N33" s="313"/>
      <c r="O33" s="274">
        <f>Z23</f>
        <v>0</v>
      </c>
      <c r="P33" s="274"/>
      <c r="Q33" s="274"/>
      <c r="R33" s="10"/>
      <c r="S33" s="71"/>
      <c r="T33" s="275" t="s">
        <v>808</v>
      </c>
      <c r="U33" s="275"/>
      <c r="V33" s="275"/>
      <c r="W33" s="275"/>
      <c r="X33" s="275"/>
      <c r="Y33" s="275"/>
      <c r="Z33" s="275"/>
      <c r="AA33" s="275"/>
      <c r="AB33" s="13"/>
      <c r="AC33" s="257" t="s">
        <v>171</v>
      </c>
      <c r="AD33" s="257"/>
      <c r="AE33" s="276" t="s">
        <v>809</v>
      </c>
      <c r="AF33" s="276"/>
      <c r="AG33" s="276"/>
      <c r="AH33" s="276"/>
      <c r="AI33" s="276"/>
      <c r="AJ33" s="276"/>
      <c r="AK33" s="14"/>
      <c r="AL33"/>
      <c r="AM33"/>
      <c r="AN33"/>
      <c r="AO33"/>
      <c r="AP33"/>
      <c r="AQ33"/>
      <c r="AR33"/>
      <c r="AS33"/>
      <c r="AT33"/>
      <c r="AU33"/>
      <c r="AV33"/>
      <c r="AW33"/>
      <c r="AX33" s="15"/>
      <c r="AY33" s="15"/>
    </row>
    <row r="34" spans="1:255" ht="14.1" customHeight="1" x14ac:dyDescent="0.15">
      <c r="A34" s="10"/>
      <c r="B34" s="278"/>
      <c r="C34" s="279"/>
      <c r="D34" s="280"/>
      <c r="E34" s="10"/>
      <c r="F34" s="278"/>
      <c r="G34" s="281"/>
      <c r="H34" s="282"/>
      <c r="I34" s="10"/>
      <c r="J34" s="313"/>
      <c r="K34" s="313"/>
      <c r="L34" s="313"/>
      <c r="M34" s="313"/>
      <c r="N34" s="313"/>
      <c r="O34" s="277" t="s">
        <v>810</v>
      </c>
      <c r="P34" s="277"/>
      <c r="Q34" s="277"/>
      <c r="R34" s="10"/>
      <c r="S34" s="71"/>
      <c r="T34" s="275"/>
      <c r="U34" s="275"/>
      <c r="V34" s="275"/>
      <c r="W34" s="275"/>
      <c r="X34" s="275"/>
      <c r="Y34" s="275"/>
      <c r="Z34" s="275"/>
      <c r="AA34" s="275"/>
      <c r="AB34" s="13"/>
      <c r="AC34" s="257" t="s">
        <v>209</v>
      </c>
      <c r="AD34" s="257"/>
      <c r="AE34" s="255" t="s">
        <v>811</v>
      </c>
      <c r="AF34" s="255"/>
      <c r="AG34" s="255"/>
      <c r="AH34" s="255"/>
      <c r="AI34" s="255"/>
      <c r="AJ34" s="255"/>
      <c r="AK34" s="14"/>
      <c r="AL34"/>
      <c r="AM34"/>
      <c r="AN34"/>
      <c r="AO34"/>
      <c r="AP34"/>
      <c r="AQ34"/>
      <c r="AR34"/>
      <c r="AS34"/>
      <c r="AT34"/>
      <c r="AU34"/>
      <c r="AV34"/>
      <c r="AW34"/>
      <c r="AX34" s="15"/>
      <c r="AY34" s="15"/>
    </row>
    <row r="35" spans="1:255" ht="14.1" customHeight="1" x14ac:dyDescent="0.15">
      <c r="A35" s="10"/>
      <c r="B35" s="269" t="s">
        <v>812</v>
      </c>
      <c r="C35" s="270">
        <f>AA57</f>
        <v>11</v>
      </c>
      <c r="D35" s="271">
        <f>IF(AA16&lt;14,1,2)</f>
        <v>1</v>
      </c>
      <c r="E35" s="10"/>
      <c r="F35" s="269" t="s">
        <v>813</v>
      </c>
      <c r="G35" s="272">
        <f>V40</f>
        <v>2</v>
      </c>
      <c r="H35" s="273">
        <f>W40</f>
        <v>0</v>
      </c>
      <c r="I35" s="10"/>
      <c r="J35" s="313"/>
      <c r="K35" s="313"/>
      <c r="L35" s="313"/>
      <c r="M35" s="313"/>
      <c r="N35" s="313"/>
      <c r="O35" s="265" t="s">
        <v>814</v>
      </c>
      <c r="P35" s="265"/>
      <c r="Q35" s="76">
        <f>ROUNDDOWN((AA11/3),0)</f>
        <v>1</v>
      </c>
      <c r="R35" s="10"/>
      <c r="S35" s="71"/>
      <c r="T35" s="266" t="s">
        <v>815</v>
      </c>
      <c r="U35" s="266"/>
      <c r="V35" s="266"/>
      <c r="W35" s="266"/>
      <c r="X35" s="267" t="s">
        <v>816</v>
      </c>
      <c r="Y35" s="267"/>
      <c r="Z35" s="267"/>
      <c r="AA35" s="267"/>
      <c r="AB35" s="13"/>
      <c r="AC35" s="257" t="s">
        <v>248</v>
      </c>
      <c r="AD35" s="257"/>
      <c r="AE35" s="255" t="s">
        <v>817</v>
      </c>
      <c r="AF35" s="255"/>
      <c r="AG35" s="255"/>
      <c r="AH35" s="255"/>
      <c r="AI35" s="255"/>
      <c r="AJ35" s="255"/>
      <c r="AK35" s="14"/>
      <c r="AL35"/>
      <c r="AM35"/>
      <c r="AN35"/>
      <c r="AO35"/>
      <c r="AP35"/>
      <c r="AQ35"/>
      <c r="AR35"/>
      <c r="AS35"/>
      <c r="AT35"/>
      <c r="AU35"/>
      <c r="AV35"/>
      <c r="AW35"/>
      <c r="AX35" s="15"/>
      <c r="AY35" s="15"/>
    </row>
    <row r="36" spans="1:255" ht="14.1" customHeight="1" x14ac:dyDescent="0.15">
      <c r="A36" s="10"/>
      <c r="B36" s="269"/>
      <c r="C36" s="270"/>
      <c r="D36" s="271"/>
      <c r="E36" s="10"/>
      <c r="F36" s="269"/>
      <c r="G36" s="272"/>
      <c r="H36" s="273"/>
      <c r="I36" s="10"/>
      <c r="J36" s="313"/>
      <c r="K36" s="313"/>
      <c r="L36" s="313"/>
      <c r="M36" s="313"/>
      <c r="N36" s="313"/>
      <c r="O36" s="268" t="s">
        <v>818</v>
      </c>
      <c r="P36" s="268"/>
      <c r="Q36" s="78">
        <f>ROUNDDOWN((AA13/3),0)</f>
        <v>1</v>
      </c>
      <c r="R36" s="10"/>
      <c r="S36" s="71"/>
      <c r="T36" s="266"/>
      <c r="U36" s="266"/>
      <c r="V36" s="266"/>
      <c r="W36" s="266"/>
      <c r="X36" s="79" t="s">
        <v>819</v>
      </c>
      <c r="Y36" s="80" t="s">
        <v>820</v>
      </c>
      <c r="Z36" s="81" t="s">
        <v>821</v>
      </c>
      <c r="AA36" s="82"/>
      <c r="AB36" s="13"/>
      <c r="AC36" s="257" t="s">
        <v>287</v>
      </c>
      <c r="AD36" s="257"/>
      <c r="AE36" s="255" t="s">
        <v>822</v>
      </c>
      <c r="AF36" s="255"/>
      <c r="AG36" s="255"/>
      <c r="AH36" s="255"/>
      <c r="AI36" s="255"/>
      <c r="AJ36" s="255"/>
      <c r="AK36" s="14"/>
      <c r="AL36"/>
      <c r="AM36"/>
      <c r="AN36"/>
      <c r="AO36"/>
      <c r="AP36"/>
      <c r="AQ36"/>
      <c r="AR36"/>
      <c r="AS36"/>
      <c r="AT36"/>
      <c r="AU36"/>
      <c r="AV36"/>
      <c r="AW36"/>
      <c r="AX36" s="15"/>
      <c r="AY36" s="15"/>
    </row>
    <row r="37" spans="1:255" ht="14.1" customHeight="1" x14ac:dyDescent="0.15">
      <c r="A37" s="10"/>
      <c r="B37" s="10"/>
      <c r="C37" s="10"/>
      <c r="D37" s="10"/>
      <c r="E37" s="10"/>
      <c r="F37" s="10"/>
      <c r="G37" s="10"/>
      <c r="H37" s="10"/>
      <c r="I37" s="10"/>
      <c r="J37" s="10"/>
      <c r="K37" s="10"/>
      <c r="L37" s="10"/>
      <c r="M37" s="10"/>
      <c r="N37" s="10"/>
      <c r="O37" s="10"/>
      <c r="P37" s="10"/>
      <c r="Q37" s="10"/>
      <c r="R37" s="10"/>
      <c r="S37" s="71"/>
      <c r="T37" s="263"/>
      <c r="U37" s="263"/>
      <c r="V37" s="83" t="s">
        <v>823</v>
      </c>
      <c r="W37" s="84" t="s">
        <v>824</v>
      </c>
      <c r="X37" s="85">
        <f>Z63-SUM(X38:X40)</f>
        <v>0</v>
      </c>
      <c r="Y37" s="86">
        <f>Z64-SUM(Y38:Y40)</f>
        <v>0</v>
      </c>
      <c r="Z37" s="87">
        <f>Z65-SUM(Z38:Z40)</f>
        <v>0</v>
      </c>
      <c r="AA37" s="88" t="s">
        <v>825</v>
      </c>
      <c r="AB37" s="13"/>
      <c r="AC37" s="257" t="s">
        <v>320</v>
      </c>
      <c r="AD37" s="257"/>
      <c r="AE37" s="255" t="s">
        <v>826</v>
      </c>
      <c r="AF37" s="255"/>
      <c r="AG37" s="255"/>
      <c r="AH37" s="255"/>
      <c r="AI37" s="255"/>
      <c r="AJ37" s="255"/>
      <c r="AK37" s="14"/>
      <c r="AL37"/>
      <c r="AM37"/>
      <c r="AN37"/>
      <c r="AO37"/>
      <c r="AP37"/>
      <c r="AQ37"/>
      <c r="AR37"/>
      <c r="AS37"/>
      <c r="AT37"/>
      <c r="AU37"/>
      <c r="AV37"/>
      <c r="AW37"/>
      <c r="AX37" s="15"/>
      <c r="AY37" s="15"/>
    </row>
    <row r="38" spans="1:255" ht="14.1" customHeight="1" x14ac:dyDescent="0.15">
      <c r="A38" s="10"/>
      <c r="B38" s="264" t="s">
        <v>827</v>
      </c>
      <c r="C38" s="264"/>
      <c r="D38" s="264"/>
      <c r="E38" s="264"/>
      <c r="F38" s="264"/>
      <c r="G38" s="264"/>
      <c r="H38" s="264"/>
      <c r="I38" s="264"/>
      <c r="J38" s="235" t="s">
        <v>828</v>
      </c>
      <c r="K38" s="235"/>
      <c r="L38" s="235"/>
      <c r="M38" s="235"/>
      <c r="N38" s="235"/>
      <c r="O38" s="235"/>
      <c r="P38" s="235"/>
      <c r="Q38" s="235"/>
      <c r="R38" s="10"/>
      <c r="S38" s="71"/>
      <c r="T38" s="261" t="s">
        <v>829</v>
      </c>
      <c r="U38" s="261"/>
      <c r="V38" s="89">
        <v>1</v>
      </c>
      <c r="W38" s="90"/>
      <c r="X38" s="91">
        <v>2</v>
      </c>
      <c r="Y38" s="40"/>
      <c r="Z38" s="92">
        <v>2</v>
      </c>
      <c r="AA38" s="93">
        <f>ROUNDDOWN((Y38/2),0)+ROUNDDOWN((Z38/2),0)+(X38)</f>
        <v>3</v>
      </c>
      <c r="AB38" s="13"/>
      <c r="AC38" s="257" t="s">
        <v>92</v>
      </c>
      <c r="AD38" s="257"/>
      <c r="AE38" s="255" t="s">
        <v>830</v>
      </c>
      <c r="AF38" s="255"/>
      <c r="AG38" s="255"/>
      <c r="AH38" s="255"/>
      <c r="AI38" s="255"/>
      <c r="AJ38" s="255"/>
      <c r="AK38" s="14"/>
      <c r="AL38"/>
      <c r="AM38"/>
      <c r="AN38"/>
      <c r="AO38"/>
      <c r="AP38"/>
      <c r="AQ38"/>
      <c r="AR38"/>
      <c r="AS38"/>
      <c r="AT38"/>
      <c r="AU38"/>
      <c r="AV38"/>
      <c r="AW38"/>
      <c r="AX38" s="15"/>
      <c r="AY38" s="15"/>
    </row>
    <row r="39" spans="1:255" ht="14.1" customHeight="1" x14ac:dyDescent="0.15">
      <c r="A39" s="10"/>
      <c r="B39" s="258" t="s">
        <v>12</v>
      </c>
      <c r="C39" s="258"/>
      <c r="D39" s="258"/>
      <c r="E39" s="259" t="s">
        <v>831</v>
      </c>
      <c r="F39" s="259"/>
      <c r="G39" s="259"/>
      <c r="H39" s="259" t="s">
        <v>832</v>
      </c>
      <c r="I39" s="259"/>
      <c r="J39" s="260" t="s">
        <v>954</v>
      </c>
      <c r="K39" s="260"/>
      <c r="L39" s="260"/>
      <c r="M39" s="260"/>
      <c r="N39" s="260"/>
      <c r="O39" s="260"/>
      <c r="P39" s="260"/>
      <c r="Q39" s="260"/>
      <c r="R39" s="10"/>
      <c r="S39" s="71"/>
      <c r="T39" s="261" t="s">
        <v>833</v>
      </c>
      <c r="U39" s="261"/>
      <c r="V39" s="89">
        <v>3</v>
      </c>
      <c r="W39" s="90"/>
      <c r="X39" s="94"/>
      <c r="Y39" s="95">
        <v>9</v>
      </c>
      <c r="Z39" s="92"/>
      <c r="AA39" s="96">
        <f>ROUNDDOWN((X39/2),0)+ROUNDDOWN((Z39/2),0)+(Y39)</f>
        <v>9</v>
      </c>
      <c r="AB39" s="13"/>
      <c r="AC39" s="257" t="s">
        <v>348</v>
      </c>
      <c r="AD39" s="257"/>
      <c r="AE39" s="255" t="s">
        <v>834</v>
      </c>
      <c r="AF39" s="255"/>
      <c r="AG39" s="255"/>
      <c r="AH39" s="255"/>
      <c r="AI39" s="255"/>
      <c r="AJ39" s="255"/>
      <c r="AK39" s="16"/>
      <c r="AL39"/>
      <c r="AM39"/>
      <c r="AN39"/>
      <c r="AO39"/>
      <c r="AP39"/>
      <c r="AQ39"/>
      <c r="AR39"/>
      <c r="AS39"/>
      <c r="AT39"/>
      <c r="AU39"/>
      <c r="AV39"/>
      <c r="AW39"/>
      <c r="AX39" s="15"/>
      <c r="AY39" s="15"/>
    </row>
    <row r="40" spans="1:255" ht="14.1" customHeight="1" x14ac:dyDescent="0.15">
      <c r="A40" s="10"/>
      <c r="B40" s="243" t="s">
        <v>235</v>
      </c>
      <c r="C40" s="243"/>
      <c r="D40" s="243"/>
      <c r="E40" s="247" t="s">
        <v>326</v>
      </c>
      <c r="F40" s="247"/>
      <c r="G40" s="247"/>
      <c r="H40" s="245" t="s">
        <v>961</v>
      </c>
      <c r="I40" s="245"/>
      <c r="J40" s="260"/>
      <c r="K40" s="260"/>
      <c r="L40" s="260"/>
      <c r="M40" s="260"/>
      <c r="N40" s="260"/>
      <c r="O40" s="260"/>
      <c r="P40" s="260"/>
      <c r="Q40" s="260"/>
      <c r="R40" s="10"/>
      <c r="S40" s="71"/>
      <c r="T40" s="256" t="s">
        <v>835</v>
      </c>
      <c r="U40" s="256"/>
      <c r="V40" s="97">
        <v>2</v>
      </c>
      <c r="W40" s="98"/>
      <c r="X40" s="99"/>
      <c r="Y40" s="55"/>
      <c r="Z40" s="100">
        <v>6</v>
      </c>
      <c r="AA40" s="101">
        <f>ROUNDDOWN((X40/2),0)+ROUNDDOWN((Y40/2),0)+(Z40)</f>
        <v>6</v>
      </c>
      <c r="AB40" s="13"/>
      <c r="AC40" s="257" t="s">
        <v>375</v>
      </c>
      <c r="AD40" s="257"/>
      <c r="AE40" s="255" t="s">
        <v>836</v>
      </c>
      <c r="AF40" s="255"/>
      <c r="AG40" s="255"/>
      <c r="AH40" s="255"/>
      <c r="AI40" s="255"/>
      <c r="AJ40" s="255"/>
      <c r="AK40" s="16"/>
      <c r="AL40"/>
      <c r="AM40"/>
      <c r="AN40"/>
      <c r="AO40"/>
      <c r="AP40"/>
      <c r="AQ40"/>
      <c r="AR40"/>
      <c r="AS40"/>
      <c r="AT40"/>
      <c r="AU40"/>
      <c r="AV40"/>
      <c r="AW40"/>
      <c r="AX40" s="15"/>
      <c r="AY40" s="15"/>
      <c r="IS40" s="102"/>
      <c r="IT40" s="102"/>
      <c r="IU40" s="102"/>
    </row>
    <row r="41" spans="1:255" ht="14.1" customHeight="1" x14ac:dyDescent="0.15">
      <c r="A41" s="10"/>
      <c r="B41" s="243" t="s">
        <v>19</v>
      </c>
      <c r="C41" s="243"/>
      <c r="D41" s="243"/>
      <c r="E41" s="247" t="s">
        <v>142</v>
      </c>
      <c r="F41" s="247"/>
      <c r="G41" s="247"/>
      <c r="H41" s="245" t="s">
        <v>962</v>
      </c>
      <c r="I41" s="245"/>
      <c r="J41" s="260"/>
      <c r="K41" s="260"/>
      <c r="L41" s="260"/>
      <c r="M41" s="260"/>
      <c r="N41" s="260"/>
      <c r="O41" s="260"/>
      <c r="P41" s="260"/>
      <c r="Q41" s="260"/>
      <c r="R41" s="10"/>
      <c r="S41" s="13"/>
      <c r="T41" s="14"/>
      <c r="U41" s="103"/>
      <c r="V41" s="104" t="s">
        <v>837</v>
      </c>
      <c r="W41" s="14"/>
      <c r="X41" s="262" t="s">
        <v>838</v>
      </c>
      <c r="Y41" s="262"/>
      <c r="Z41" s="262"/>
      <c r="AA41" s="71"/>
      <c r="AB41" s="17"/>
      <c r="AC41" s="251" t="s">
        <v>298</v>
      </c>
      <c r="AD41" s="251"/>
      <c r="AE41" s="252" t="s">
        <v>839</v>
      </c>
      <c r="AF41" s="252"/>
      <c r="AG41" s="252"/>
      <c r="AH41" s="252"/>
      <c r="AI41" s="252"/>
      <c r="AJ41" s="252"/>
      <c r="AK41" s="16"/>
      <c r="AL41"/>
      <c r="AM41"/>
      <c r="AN41"/>
      <c r="AO41"/>
      <c r="AP41"/>
      <c r="AQ41"/>
      <c r="AR41"/>
      <c r="AS41"/>
      <c r="AT41"/>
      <c r="AU41"/>
      <c r="AV41"/>
      <c r="AW41"/>
      <c r="AX41" s="15"/>
      <c r="AY41" s="15"/>
      <c r="IS41" s="102"/>
      <c r="IT41" s="102"/>
      <c r="IU41" s="102"/>
    </row>
    <row r="42" spans="1:255" ht="14.1" customHeight="1" x14ac:dyDescent="0.15">
      <c r="A42" s="10"/>
      <c r="B42" s="243" t="s">
        <v>19</v>
      </c>
      <c r="C42" s="243"/>
      <c r="D42" s="243"/>
      <c r="E42" s="247" t="s">
        <v>293</v>
      </c>
      <c r="F42" s="247"/>
      <c r="G42" s="247"/>
      <c r="H42" s="245" t="s">
        <v>963</v>
      </c>
      <c r="I42" s="245"/>
      <c r="J42" s="253" t="s">
        <v>840</v>
      </c>
      <c r="K42" s="253"/>
      <c r="L42" s="253"/>
      <c r="M42" s="253"/>
      <c r="N42" s="253"/>
      <c r="O42" s="253"/>
      <c r="P42" s="253"/>
      <c r="Q42" s="253"/>
      <c r="R42" s="10"/>
      <c r="S42" s="13"/>
      <c r="T42" s="103"/>
      <c r="U42" s="103"/>
      <c r="V42" s="103"/>
      <c r="W42" s="103"/>
      <c r="X42" s="254" t="s">
        <v>841</v>
      </c>
      <c r="Y42" s="254"/>
      <c r="Z42" s="254"/>
      <c r="AA42" s="71"/>
      <c r="AB42" s="13"/>
      <c r="AC42" s="13"/>
      <c r="AD42" s="13"/>
      <c r="AE42" s="13"/>
      <c r="AF42" s="13"/>
      <c r="AG42" s="13"/>
      <c r="AH42" s="13"/>
      <c r="AI42" s="13"/>
      <c r="AJ42" s="13"/>
      <c r="AK42" s="16"/>
      <c r="AL42"/>
      <c r="AM42"/>
      <c r="AN42"/>
      <c r="AO42"/>
      <c r="AP42"/>
      <c r="AQ42"/>
      <c r="AR42"/>
      <c r="AS42"/>
      <c r="AT42"/>
      <c r="AU42"/>
      <c r="AV42"/>
      <c r="AW42"/>
      <c r="AX42"/>
      <c r="AY42" s="15"/>
      <c r="IS42" s="102"/>
      <c r="IT42" s="102"/>
      <c r="IU42" s="102"/>
    </row>
    <row r="43" spans="1:255" ht="14.1" customHeight="1" x14ac:dyDescent="0.15">
      <c r="A43" s="10"/>
      <c r="B43" s="243" t="s">
        <v>19</v>
      </c>
      <c r="C43" s="243"/>
      <c r="D43" s="243"/>
      <c r="E43" s="247" t="s">
        <v>114</v>
      </c>
      <c r="F43" s="247"/>
      <c r="G43" s="247"/>
      <c r="H43" s="245" t="s">
        <v>964</v>
      </c>
      <c r="I43" s="245"/>
      <c r="J43" s="238" t="s">
        <v>955</v>
      </c>
      <c r="K43" s="238"/>
      <c r="L43" s="238"/>
      <c r="M43" s="238"/>
      <c r="N43" s="238"/>
      <c r="O43" s="238"/>
      <c r="P43" s="238"/>
      <c r="Q43" s="238"/>
      <c r="R43" s="10"/>
      <c r="S43" s="13"/>
      <c r="T43" s="103"/>
      <c r="U43" s="103"/>
      <c r="V43" s="103"/>
      <c r="W43" s="103"/>
      <c r="X43" s="79" t="s">
        <v>819</v>
      </c>
      <c r="Y43" s="105" t="s">
        <v>820</v>
      </c>
      <c r="Z43" s="81" t="s">
        <v>821</v>
      </c>
      <c r="AA43" s="71"/>
      <c r="AB43" s="13"/>
      <c r="AC43" s="249" t="s">
        <v>842</v>
      </c>
      <c r="AD43" s="249"/>
      <c r="AE43" s="249"/>
      <c r="AF43" s="249"/>
      <c r="AG43" s="249"/>
      <c r="AH43" s="249"/>
      <c r="AI43" s="249"/>
      <c r="AJ43" s="249"/>
      <c r="AK43" s="14"/>
      <c r="AL43"/>
      <c r="AM43"/>
      <c r="AN43"/>
      <c r="AO43"/>
      <c r="AP43"/>
      <c r="AQ43"/>
      <c r="AR43"/>
      <c r="AS43"/>
      <c r="AT43"/>
      <c r="AU43"/>
      <c r="AV43"/>
      <c r="AW43"/>
      <c r="AX43"/>
      <c r="AY43" s="15"/>
      <c r="IU43" s="102"/>
    </row>
    <row r="44" spans="1:255" ht="14.1" customHeight="1" x14ac:dyDescent="0.15">
      <c r="A44" s="10"/>
      <c r="B44" s="243" t="s">
        <v>19</v>
      </c>
      <c r="C44" s="243"/>
      <c r="D44" s="243"/>
      <c r="E44" s="247" t="s">
        <v>114</v>
      </c>
      <c r="F44" s="247"/>
      <c r="G44" s="247"/>
      <c r="H44" s="245" t="s">
        <v>965</v>
      </c>
      <c r="I44" s="245"/>
      <c r="J44" s="238"/>
      <c r="K44" s="238"/>
      <c r="L44" s="238"/>
      <c r="M44" s="238"/>
      <c r="N44" s="238"/>
      <c r="O44" s="238"/>
      <c r="P44" s="238"/>
      <c r="Q44" s="238"/>
      <c r="R44" s="10"/>
      <c r="S44" s="13"/>
      <c r="T44" s="103"/>
      <c r="U44" s="103"/>
      <c r="V44" s="103"/>
      <c r="W44" s="106" t="s">
        <v>825</v>
      </c>
      <c r="X44" s="107">
        <f>AA38</f>
        <v>3</v>
      </c>
      <c r="Y44" s="108">
        <f>AA39</f>
        <v>9</v>
      </c>
      <c r="Z44" s="109">
        <f>AA40</f>
        <v>6</v>
      </c>
      <c r="AA44" s="71"/>
      <c r="AB44" s="13"/>
      <c r="AC44" s="250" t="s">
        <v>843</v>
      </c>
      <c r="AD44" s="236" t="s">
        <v>844</v>
      </c>
      <c r="AE44" s="236"/>
      <c r="AF44" s="236"/>
      <c r="AG44" s="111" t="s">
        <v>845</v>
      </c>
      <c r="AH44" s="112" t="s">
        <v>846</v>
      </c>
      <c r="AI44" s="112" t="s">
        <v>847</v>
      </c>
      <c r="AJ44" s="112" t="s">
        <v>29</v>
      </c>
      <c r="AK44" s="14"/>
      <c r="AL44"/>
      <c r="AM44"/>
      <c r="AN44"/>
      <c r="AO44"/>
      <c r="AP44"/>
      <c r="AQ44"/>
      <c r="AR44"/>
      <c r="AS44"/>
      <c r="AT44"/>
      <c r="AU44"/>
      <c r="AV44"/>
      <c r="AW44"/>
      <c r="AX44"/>
      <c r="AY44" s="15"/>
    </row>
    <row r="45" spans="1:255" ht="14.1" customHeight="1" x14ac:dyDescent="0.15">
      <c r="A45" s="10"/>
      <c r="B45" s="243" t="s">
        <v>19</v>
      </c>
      <c r="C45" s="243"/>
      <c r="D45" s="243"/>
      <c r="E45" s="247" t="s">
        <v>19</v>
      </c>
      <c r="F45" s="247"/>
      <c r="G45" s="247"/>
      <c r="H45" s="245"/>
      <c r="I45" s="245"/>
      <c r="J45" s="238"/>
      <c r="K45" s="238"/>
      <c r="L45" s="238"/>
      <c r="M45" s="238"/>
      <c r="N45" s="238"/>
      <c r="O45" s="238"/>
      <c r="P45" s="238"/>
      <c r="Q45" s="238"/>
      <c r="R45" s="10"/>
      <c r="S45" s="13"/>
      <c r="T45" s="14"/>
      <c r="U45" s="14"/>
      <c r="V45" s="14"/>
      <c r="W45" s="113" t="s">
        <v>848</v>
      </c>
      <c r="X45" s="114">
        <f>X44-(V38*3)-W38</f>
        <v>0</v>
      </c>
      <c r="Y45" s="115">
        <f>Y44-(V39*3)-W39</f>
        <v>0</v>
      </c>
      <c r="Z45" s="116">
        <f>Z44-(V40*3)-W40</f>
        <v>0</v>
      </c>
      <c r="AA45" s="14"/>
      <c r="AB45" s="13"/>
      <c r="AC45" s="250"/>
      <c r="AD45" s="236"/>
      <c r="AE45" s="236"/>
      <c r="AF45" s="236"/>
      <c r="AG45" s="236" t="s">
        <v>844</v>
      </c>
      <c r="AH45" s="242" t="s">
        <v>849</v>
      </c>
      <c r="AI45" s="242" t="s">
        <v>850</v>
      </c>
      <c r="AJ45" s="242" t="s">
        <v>851</v>
      </c>
      <c r="AK45" s="14"/>
      <c r="AL45"/>
      <c r="AM45"/>
      <c r="AN45"/>
      <c r="AO45"/>
      <c r="AP45"/>
      <c r="AQ45"/>
      <c r="AR45"/>
      <c r="AS45"/>
      <c r="AT45"/>
      <c r="AU45"/>
      <c r="AV45"/>
      <c r="AW45"/>
      <c r="AX45"/>
      <c r="AY45" s="15"/>
    </row>
    <row r="46" spans="1:255" ht="14.1" customHeight="1" x14ac:dyDescent="0.15">
      <c r="A46" s="10"/>
      <c r="B46" s="243" t="s">
        <v>19</v>
      </c>
      <c r="C46" s="243"/>
      <c r="D46" s="243"/>
      <c r="E46" s="247" t="s">
        <v>19</v>
      </c>
      <c r="F46" s="247"/>
      <c r="G46" s="247"/>
      <c r="H46" s="245"/>
      <c r="I46" s="245"/>
      <c r="J46" s="238"/>
      <c r="K46" s="238"/>
      <c r="L46" s="238"/>
      <c r="M46" s="238"/>
      <c r="N46" s="238"/>
      <c r="O46" s="238"/>
      <c r="P46" s="238"/>
      <c r="Q46" s="238"/>
      <c r="R46" s="10"/>
      <c r="S46" s="13"/>
      <c r="T46" s="13"/>
      <c r="U46" s="13"/>
      <c r="V46" s="13"/>
      <c r="W46" s="13"/>
      <c r="X46" s="13"/>
      <c r="Y46" s="13"/>
      <c r="Z46" s="13"/>
      <c r="AA46" s="13"/>
      <c r="AB46" s="13"/>
      <c r="AC46" s="250"/>
      <c r="AD46" s="250"/>
      <c r="AE46" s="236"/>
      <c r="AF46" s="236"/>
      <c r="AG46" s="236"/>
      <c r="AH46" s="242"/>
      <c r="AI46" s="242"/>
      <c r="AJ46" s="242"/>
      <c r="AK46" s="14"/>
      <c r="AL46"/>
      <c r="AM46"/>
      <c r="AN46"/>
      <c r="AO46"/>
      <c r="AP46"/>
      <c r="AQ46"/>
      <c r="AR46"/>
      <c r="AS46"/>
      <c r="AT46"/>
      <c r="AU46"/>
      <c r="AV46"/>
      <c r="AW46"/>
      <c r="AX46"/>
      <c r="AY46" s="15"/>
    </row>
    <row r="47" spans="1:255" ht="14.1" customHeight="1" x14ac:dyDescent="0.15">
      <c r="A47" s="10"/>
      <c r="B47" s="243" t="s">
        <v>19</v>
      </c>
      <c r="C47" s="243"/>
      <c r="D47" s="243"/>
      <c r="E47" s="247" t="s">
        <v>19</v>
      </c>
      <c r="F47" s="247"/>
      <c r="G47" s="247"/>
      <c r="H47" s="245"/>
      <c r="I47" s="245"/>
      <c r="J47" s="238"/>
      <c r="K47" s="238"/>
      <c r="L47" s="238"/>
      <c r="M47" s="238"/>
      <c r="N47" s="238"/>
      <c r="O47" s="238"/>
      <c r="P47" s="238"/>
      <c r="Q47" s="238"/>
      <c r="R47" s="10"/>
      <c r="S47" s="13"/>
      <c r="T47" s="239" t="s">
        <v>764</v>
      </c>
      <c r="U47" s="239"/>
      <c r="V47" s="239"/>
      <c r="W47" s="239"/>
      <c r="X47" s="239"/>
      <c r="Y47" s="239"/>
      <c r="Z47" s="239"/>
      <c r="AA47" s="239"/>
      <c r="AB47" s="13"/>
      <c r="AC47" s="117" t="s">
        <v>757</v>
      </c>
      <c r="AD47" s="236" t="s">
        <v>852</v>
      </c>
      <c r="AE47" s="236"/>
      <c r="AF47" s="236"/>
      <c r="AG47" s="110" t="s">
        <v>120</v>
      </c>
      <c r="AH47" s="117" t="s">
        <v>853</v>
      </c>
      <c r="AI47" s="117" t="s">
        <v>854</v>
      </c>
      <c r="AJ47" s="117" t="s">
        <v>855</v>
      </c>
      <c r="AK47" s="14"/>
      <c r="AL47"/>
      <c r="AM47"/>
      <c r="AN47"/>
      <c r="AO47"/>
      <c r="AP47"/>
      <c r="AQ47"/>
      <c r="AR47"/>
      <c r="AS47"/>
      <c r="AT47"/>
      <c r="AU47"/>
      <c r="AV47"/>
      <c r="AW47"/>
      <c r="AX47"/>
      <c r="AY47" s="15"/>
    </row>
    <row r="48" spans="1:255" ht="14.1" customHeight="1" x14ac:dyDescent="0.15">
      <c r="A48" s="10"/>
      <c r="B48" s="243" t="s">
        <v>19</v>
      </c>
      <c r="C48" s="243"/>
      <c r="D48" s="243"/>
      <c r="E48" s="247" t="s">
        <v>19</v>
      </c>
      <c r="F48" s="247"/>
      <c r="G48" s="247"/>
      <c r="H48" s="245"/>
      <c r="I48" s="245"/>
      <c r="J48" s="238"/>
      <c r="K48" s="238"/>
      <c r="L48" s="238"/>
      <c r="M48" s="238"/>
      <c r="N48" s="238"/>
      <c r="O48" s="238"/>
      <c r="P48" s="238"/>
      <c r="Q48" s="238"/>
      <c r="R48" s="10"/>
      <c r="S48" s="13"/>
      <c r="T48" s="118"/>
      <c r="U48" s="119" t="s">
        <v>856</v>
      </c>
      <c r="V48" s="248" t="s">
        <v>857</v>
      </c>
      <c r="W48" s="248"/>
      <c r="X48" s="119" t="s">
        <v>858</v>
      </c>
      <c r="Y48" s="119" t="s">
        <v>755</v>
      </c>
      <c r="Z48" s="119" t="s">
        <v>859</v>
      </c>
      <c r="AA48" s="26" t="s">
        <v>768</v>
      </c>
      <c r="AB48" s="13"/>
      <c r="AC48" s="117" t="s">
        <v>758</v>
      </c>
      <c r="AD48" s="236" t="s">
        <v>860</v>
      </c>
      <c r="AE48" s="236"/>
      <c r="AF48" s="236"/>
      <c r="AG48" s="110" t="s">
        <v>105</v>
      </c>
      <c r="AH48" s="117" t="s">
        <v>861</v>
      </c>
      <c r="AI48" s="117" t="s">
        <v>862</v>
      </c>
      <c r="AJ48" s="117" t="s">
        <v>863</v>
      </c>
      <c r="AK48" s="14"/>
      <c r="AL48"/>
      <c r="AM48"/>
      <c r="AN48"/>
      <c r="AO48"/>
      <c r="AP48"/>
      <c r="AQ48"/>
      <c r="AR48"/>
      <c r="AS48"/>
      <c r="AT48"/>
      <c r="AU48"/>
      <c r="AV48"/>
      <c r="AW48"/>
      <c r="AX48"/>
      <c r="AY48" s="15"/>
    </row>
    <row r="49" spans="1:51" ht="14.1" customHeight="1" x14ac:dyDescent="0.15">
      <c r="A49" s="10"/>
      <c r="B49" s="243" t="s">
        <v>19</v>
      </c>
      <c r="C49" s="243"/>
      <c r="D49" s="243"/>
      <c r="E49" s="247" t="s">
        <v>19</v>
      </c>
      <c r="F49" s="247"/>
      <c r="G49" s="247"/>
      <c r="H49" s="245"/>
      <c r="I49" s="245"/>
      <c r="J49" s="238"/>
      <c r="K49" s="238"/>
      <c r="L49" s="238"/>
      <c r="M49" s="238"/>
      <c r="N49" s="238"/>
      <c r="O49" s="238"/>
      <c r="P49" s="238"/>
      <c r="Q49" s="238"/>
      <c r="R49" s="10"/>
      <c r="S49" s="13"/>
      <c r="T49" s="120" t="s">
        <v>767</v>
      </c>
      <c r="U49" s="38">
        <f>(AA10*2)+(AA11)</f>
        <v>8</v>
      </c>
      <c r="V49" s="65"/>
      <c r="W49" s="57"/>
      <c r="X49" s="121" t="s">
        <v>770</v>
      </c>
      <c r="Y49" s="121" t="s">
        <v>770</v>
      </c>
      <c r="Z49" s="65"/>
      <c r="AA49" s="122">
        <f t="shared" ref="AA49:AA59" si="8">SUM(U49:Z49)</f>
        <v>8</v>
      </c>
      <c r="AB49" s="13"/>
      <c r="AC49" s="117" t="s">
        <v>864</v>
      </c>
      <c r="AD49" s="236" t="s">
        <v>865</v>
      </c>
      <c r="AE49" s="236"/>
      <c r="AF49" s="236"/>
      <c r="AG49" s="110" t="s">
        <v>88</v>
      </c>
      <c r="AH49" s="117" t="s">
        <v>866</v>
      </c>
      <c r="AI49" s="117" t="s">
        <v>867</v>
      </c>
      <c r="AJ49" s="117" t="s">
        <v>868</v>
      </c>
      <c r="AK49" s="14"/>
      <c r="AL49"/>
      <c r="AM49"/>
      <c r="AN49"/>
      <c r="AO49"/>
      <c r="AP49"/>
      <c r="AQ49"/>
      <c r="AR49"/>
      <c r="AS49"/>
      <c r="AT49"/>
      <c r="AU49"/>
      <c r="AV49"/>
      <c r="AW49"/>
      <c r="AX49"/>
      <c r="AY49" s="15"/>
    </row>
    <row r="50" spans="1:51" ht="14.1" customHeight="1" x14ac:dyDescent="0.15">
      <c r="A50" s="10"/>
      <c r="B50" s="243" t="s">
        <v>35</v>
      </c>
      <c r="C50" s="243"/>
      <c r="D50" s="243"/>
      <c r="E50" s="244" t="s">
        <v>967</v>
      </c>
      <c r="F50" s="244"/>
      <c r="G50" s="244"/>
      <c r="H50" s="245"/>
      <c r="I50" s="245"/>
      <c r="J50" s="238"/>
      <c r="K50" s="238"/>
      <c r="L50" s="238"/>
      <c r="M50" s="238"/>
      <c r="N50" s="238"/>
      <c r="O50" s="238"/>
      <c r="P50" s="238"/>
      <c r="Q50" s="238"/>
      <c r="R50" s="10"/>
      <c r="S50" s="13"/>
      <c r="T50" s="120" t="s">
        <v>772</v>
      </c>
      <c r="U50" s="38">
        <f>AA13+ROUNDDOWN((AA11/2),0)+ROUNDDOWN((AA16/2),0)+10</f>
        <v>17</v>
      </c>
      <c r="V50" s="65"/>
      <c r="W50" s="65"/>
      <c r="X50" s="38">
        <f>IF(H18&lt;18,0,3)</f>
        <v>0</v>
      </c>
      <c r="Y50" s="38" t="str">
        <f>IF(C13="大器",10,"　")</f>
        <v>　</v>
      </c>
      <c r="Z50" s="65"/>
      <c r="AA50" s="122">
        <f t="shared" si="8"/>
        <v>17</v>
      </c>
      <c r="AB50" s="13"/>
      <c r="AC50" s="117" t="s">
        <v>870</v>
      </c>
      <c r="AD50" s="236" t="s">
        <v>871</v>
      </c>
      <c r="AE50" s="236"/>
      <c r="AF50" s="236"/>
      <c r="AG50" s="110" t="s">
        <v>69</v>
      </c>
      <c r="AH50" s="117" t="s">
        <v>872</v>
      </c>
      <c r="AI50" s="117" t="s">
        <v>873</v>
      </c>
      <c r="AJ50" s="117" t="s">
        <v>874</v>
      </c>
      <c r="AK50" s="16"/>
      <c r="AL50"/>
      <c r="AM50"/>
      <c r="AN50"/>
      <c r="AO50"/>
      <c r="AP50"/>
      <c r="AQ50"/>
      <c r="AR50"/>
      <c r="AS50"/>
      <c r="AT50"/>
      <c r="AU50"/>
      <c r="AV50"/>
      <c r="AW50"/>
      <c r="AX50"/>
      <c r="AY50" s="15"/>
    </row>
    <row r="51" spans="1:51" ht="14.1" customHeight="1" x14ac:dyDescent="0.15">
      <c r="A51" s="10"/>
      <c r="B51" s="243" t="s">
        <v>19</v>
      </c>
      <c r="C51" s="243"/>
      <c r="D51" s="243"/>
      <c r="E51" s="246" t="s">
        <v>869</v>
      </c>
      <c r="F51" s="246"/>
      <c r="G51" s="246"/>
      <c r="H51" s="245"/>
      <c r="I51" s="245"/>
      <c r="J51" s="238"/>
      <c r="K51" s="238"/>
      <c r="L51" s="238"/>
      <c r="M51" s="238"/>
      <c r="N51" s="238"/>
      <c r="O51" s="238"/>
      <c r="P51" s="238"/>
      <c r="Q51" s="238"/>
      <c r="R51" s="10"/>
      <c r="S51" s="13"/>
      <c r="T51" s="123" t="s">
        <v>778</v>
      </c>
      <c r="U51" s="124">
        <f>AA50-ROUNDDOWN((AA55/3),0)</f>
        <v>15</v>
      </c>
      <c r="V51" s="124" t="s">
        <v>770</v>
      </c>
      <c r="W51" s="124" t="s">
        <v>770</v>
      </c>
      <c r="X51" s="124" t="s">
        <v>770</v>
      </c>
      <c r="Y51" s="124" t="s">
        <v>770</v>
      </c>
      <c r="Z51" s="125"/>
      <c r="AA51" s="122">
        <f t="shared" si="8"/>
        <v>15</v>
      </c>
      <c r="AB51" s="13"/>
      <c r="AC51" s="117" t="s">
        <v>872</v>
      </c>
      <c r="AD51" s="236" t="s">
        <v>875</v>
      </c>
      <c r="AE51" s="236"/>
      <c r="AF51" s="236"/>
      <c r="AG51" s="110" t="s">
        <v>50</v>
      </c>
      <c r="AH51" s="117" t="s">
        <v>876</v>
      </c>
      <c r="AI51" s="117" t="s">
        <v>877</v>
      </c>
      <c r="AJ51" s="117" t="s">
        <v>878</v>
      </c>
      <c r="AK51" s="16"/>
      <c r="AL51"/>
      <c r="AM51"/>
      <c r="AN51"/>
      <c r="AO51"/>
      <c r="AP51"/>
      <c r="AQ51"/>
      <c r="AR51"/>
      <c r="AS51"/>
      <c r="AT51"/>
      <c r="AU51"/>
      <c r="AV51"/>
      <c r="AW51"/>
      <c r="AX51"/>
      <c r="AY51" s="15"/>
    </row>
    <row r="52" spans="1:51" ht="14.1" customHeight="1" x14ac:dyDescent="0.15">
      <c r="A52" s="10"/>
      <c r="B52" s="235" t="s">
        <v>879</v>
      </c>
      <c r="C52" s="235"/>
      <c r="D52" s="235"/>
      <c r="E52" s="235"/>
      <c r="F52" s="235"/>
      <c r="G52" s="235"/>
      <c r="H52" s="235"/>
      <c r="I52" s="235"/>
      <c r="J52" s="235"/>
      <c r="K52" s="235"/>
      <c r="L52" s="235"/>
      <c r="M52" s="235"/>
      <c r="N52" s="235"/>
      <c r="O52" s="235"/>
      <c r="P52" s="235"/>
      <c r="Q52" s="235"/>
      <c r="R52" s="10"/>
      <c r="S52" s="13"/>
      <c r="T52" s="120" t="s">
        <v>786</v>
      </c>
      <c r="U52" s="38">
        <f>ROUNDDOWN((AA11/2),0)</f>
        <v>2</v>
      </c>
      <c r="V52" s="124" t="s">
        <v>770</v>
      </c>
      <c r="W52" s="124" t="s">
        <v>770</v>
      </c>
      <c r="X52" s="38">
        <f>IF(H17&lt;18,0,1)</f>
        <v>0</v>
      </c>
      <c r="Y52" s="121" t="s">
        <v>770</v>
      </c>
      <c r="Z52" s="65"/>
      <c r="AA52" s="122">
        <f t="shared" si="8"/>
        <v>2</v>
      </c>
      <c r="AB52" s="13"/>
      <c r="AC52" s="117" t="s">
        <v>880</v>
      </c>
      <c r="AD52" s="236" t="s">
        <v>881</v>
      </c>
      <c r="AE52" s="236"/>
      <c r="AF52" s="236"/>
      <c r="AG52" s="110" t="s">
        <v>29</v>
      </c>
      <c r="AH52" s="117" t="s">
        <v>762</v>
      </c>
      <c r="AI52" s="117" t="s">
        <v>882</v>
      </c>
      <c r="AJ52" s="117" t="s">
        <v>883</v>
      </c>
      <c r="AK52" s="16"/>
      <c r="AL52"/>
      <c r="AM52"/>
      <c r="AN52"/>
      <c r="AO52"/>
      <c r="AP52"/>
      <c r="AQ52"/>
      <c r="AR52"/>
      <c r="AS52"/>
      <c r="AT52"/>
      <c r="AU52"/>
      <c r="AV52"/>
      <c r="AW52"/>
      <c r="AX52"/>
      <c r="AY52" s="15"/>
    </row>
    <row r="53" spans="1:51" ht="14.1" customHeight="1" x14ac:dyDescent="0.15">
      <c r="A53" s="10"/>
      <c r="B53" s="237" t="s">
        <v>960</v>
      </c>
      <c r="C53" s="237"/>
      <c r="D53" s="237"/>
      <c r="E53" s="237"/>
      <c r="F53" s="237"/>
      <c r="G53" s="237"/>
      <c r="H53" s="237"/>
      <c r="I53" s="237"/>
      <c r="J53" s="237"/>
      <c r="K53" s="237"/>
      <c r="L53" s="237"/>
      <c r="M53" s="237"/>
      <c r="N53" s="237"/>
      <c r="O53" s="237"/>
      <c r="P53" s="237"/>
      <c r="Q53" s="237"/>
      <c r="R53" s="10"/>
      <c r="S53" s="17"/>
      <c r="T53" s="120" t="s">
        <v>791</v>
      </c>
      <c r="U53" s="38">
        <f>ROUNDDOWN((AA13/2),0)</f>
        <v>2</v>
      </c>
      <c r="V53" s="124" t="s">
        <v>770</v>
      </c>
      <c r="W53" s="124" t="s">
        <v>770</v>
      </c>
      <c r="X53" s="124" t="s">
        <v>770</v>
      </c>
      <c r="Y53" s="121" t="s">
        <v>770</v>
      </c>
      <c r="Z53" s="126"/>
      <c r="AA53" s="122">
        <f t="shared" si="8"/>
        <v>2</v>
      </c>
      <c r="AB53" s="13"/>
      <c r="AC53" s="71"/>
      <c r="AD53" s="71"/>
      <c r="AE53" s="71"/>
      <c r="AF53" s="71"/>
      <c r="AG53" s="71"/>
      <c r="AH53" s="71"/>
      <c r="AI53" s="71"/>
      <c r="AJ53" s="71"/>
      <c r="AK53" s="16"/>
      <c r="AL53"/>
      <c r="AM53"/>
      <c r="AN53"/>
      <c r="AO53"/>
      <c r="AP53"/>
      <c r="AQ53"/>
      <c r="AR53"/>
      <c r="AS53"/>
      <c r="AT53"/>
      <c r="AU53"/>
      <c r="AV53"/>
      <c r="AW53"/>
      <c r="AX53"/>
      <c r="AY53" s="15"/>
    </row>
    <row r="54" spans="1:51" ht="14.1" customHeight="1" x14ac:dyDescent="0.15">
      <c r="A54" s="10"/>
      <c r="B54" s="237"/>
      <c r="C54" s="237"/>
      <c r="D54" s="237"/>
      <c r="E54" s="237"/>
      <c r="F54" s="237"/>
      <c r="G54" s="237"/>
      <c r="H54" s="237"/>
      <c r="I54" s="237"/>
      <c r="J54" s="237"/>
      <c r="K54" s="237"/>
      <c r="L54" s="237"/>
      <c r="M54" s="237"/>
      <c r="N54" s="237"/>
      <c r="O54" s="237"/>
      <c r="P54" s="237"/>
      <c r="Q54" s="237"/>
      <c r="R54" s="10"/>
      <c r="S54" s="13"/>
      <c r="T54" s="120" t="s">
        <v>793</v>
      </c>
      <c r="U54" s="38">
        <f>ROUNDDOWN((AA12/3),0)+ROUNDDOWN((AA15/2),0)</f>
        <v>6</v>
      </c>
      <c r="V54" s="124" t="s">
        <v>770</v>
      </c>
      <c r="W54" s="124" t="s">
        <v>770</v>
      </c>
      <c r="X54" s="124" t="s">
        <v>770</v>
      </c>
      <c r="Y54" s="121" t="s">
        <v>770</v>
      </c>
      <c r="Z54" s="65"/>
      <c r="AA54" s="122">
        <f t="shared" si="8"/>
        <v>6</v>
      </c>
      <c r="AB54" s="17"/>
      <c r="AC54" s="71"/>
      <c r="AD54" s="71"/>
      <c r="AE54" s="71"/>
      <c r="AF54" s="71"/>
      <c r="AG54" s="71"/>
      <c r="AH54" s="71"/>
      <c r="AI54" s="71"/>
      <c r="AJ54" s="71"/>
      <c r="AK54" s="16"/>
      <c r="AL54"/>
      <c r="AM54"/>
      <c r="AN54"/>
      <c r="AO54"/>
      <c r="AP54"/>
      <c r="AQ54"/>
      <c r="AR54"/>
      <c r="AS54"/>
      <c r="AT54"/>
      <c r="AU54"/>
      <c r="AV54"/>
      <c r="AW54"/>
      <c r="AX54"/>
      <c r="AY54" s="15"/>
    </row>
    <row r="55" spans="1:51" ht="14.1" customHeight="1" x14ac:dyDescent="0.15">
      <c r="A55" s="10"/>
      <c r="B55" s="237"/>
      <c r="C55" s="237"/>
      <c r="D55" s="237"/>
      <c r="E55" s="237"/>
      <c r="F55" s="237"/>
      <c r="G55" s="237"/>
      <c r="H55" s="237"/>
      <c r="I55" s="237"/>
      <c r="J55" s="237"/>
      <c r="K55" s="237"/>
      <c r="L55" s="237"/>
      <c r="M55" s="237"/>
      <c r="N55" s="237"/>
      <c r="O55" s="237"/>
      <c r="P55" s="237"/>
      <c r="Q55" s="237"/>
      <c r="R55" s="10"/>
      <c r="S55" s="13"/>
      <c r="T55" s="120" t="s">
        <v>884</v>
      </c>
      <c r="U55" s="38">
        <f>ROUNDDOWN((AA12/2),0)+ROUNDDOWN((AA16/2),0)+ROUNDDOWN((AA13/2),0)</f>
        <v>6</v>
      </c>
      <c r="V55" s="124" t="s">
        <v>770</v>
      </c>
      <c r="W55" s="124" t="s">
        <v>770</v>
      </c>
      <c r="X55" s="124" t="s">
        <v>770</v>
      </c>
      <c r="Y55" s="121" t="s">
        <v>770</v>
      </c>
      <c r="Z55" s="65"/>
      <c r="AA55" s="127">
        <f t="shared" si="8"/>
        <v>6</v>
      </c>
      <c r="AB55" s="17"/>
      <c r="AC55" s="71"/>
      <c r="AD55" s="71"/>
      <c r="AE55" s="71"/>
      <c r="AF55" s="71"/>
      <c r="AG55" s="71"/>
      <c r="AH55" s="71"/>
      <c r="AI55" s="71"/>
      <c r="AJ55" s="71"/>
      <c r="AK55" s="16"/>
      <c r="AL55"/>
      <c r="AM55"/>
      <c r="AN55"/>
      <c r="AO55"/>
      <c r="AP55"/>
      <c r="AQ55"/>
      <c r="AR55"/>
      <c r="AS55"/>
      <c r="AT55"/>
      <c r="AU55"/>
      <c r="AV55"/>
      <c r="AW55"/>
      <c r="AX55"/>
      <c r="AY55" s="15"/>
    </row>
    <row r="56" spans="1:51" ht="14.1" customHeight="1" x14ac:dyDescent="0.15">
      <c r="A56" s="10"/>
      <c r="B56" s="238" t="s">
        <v>972</v>
      </c>
      <c r="C56" s="238"/>
      <c r="D56" s="238"/>
      <c r="E56" s="238"/>
      <c r="F56" s="238"/>
      <c r="G56" s="238"/>
      <c r="H56" s="238"/>
      <c r="I56" s="238"/>
      <c r="J56" s="238"/>
      <c r="K56" s="238"/>
      <c r="L56" s="238"/>
      <c r="M56" s="238"/>
      <c r="N56" s="238"/>
      <c r="O56" s="238"/>
      <c r="P56" s="238"/>
      <c r="Q56" s="238"/>
      <c r="R56" s="10"/>
      <c r="S56" s="13"/>
      <c r="T56" s="120" t="s">
        <v>885</v>
      </c>
      <c r="U56" s="38">
        <f>ROUNDDOWN((AA11/2),0)+(AA14)</f>
        <v>10</v>
      </c>
      <c r="V56" s="124" t="s">
        <v>770</v>
      </c>
      <c r="W56" s="124" t="s">
        <v>770</v>
      </c>
      <c r="X56" s="38">
        <f>IF(H22&lt;18,0,2)+IF(H20&lt;18,0,1)</f>
        <v>0</v>
      </c>
      <c r="Y56" s="121" t="s">
        <v>770</v>
      </c>
      <c r="Z56" s="65"/>
      <c r="AA56" s="127">
        <f t="shared" si="8"/>
        <v>10</v>
      </c>
      <c r="AB56" s="17"/>
      <c r="AC56" s="71"/>
      <c r="AD56" s="71"/>
      <c r="AE56" s="71"/>
      <c r="AF56" s="71"/>
      <c r="AG56" s="71"/>
      <c r="AH56" s="71"/>
      <c r="AI56" s="71"/>
      <c r="AJ56" s="71"/>
      <c r="AK56" s="16"/>
      <c r="AL56"/>
      <c r="AM56"/>
      <c r="AN56"/>
      <c r="AO56"/>
      <c r="AP56"/>
      <c r="AQ56"/>
      <c r="AR56"/>
      <c r="AS56"/>
      <c r="AT56"/>
      <c r="AU56"/>
      <c r="AV56"/>
      <c r="AW56"/>
      <c r="AX56"/>
      <c r="AY56" s="15"/>
    </row>
    <row r="57" spans="1:51" ht="14.1" customHeight="1" x14ac:dyDescent="0.15">
      <c r="A57" s="10"/>
      <c r="B57" s="238"/>
      <c r="C57" s="238"/>
      <c r="D57" s="238"/>
      <c r="E57" s="238"/>
      <c r="F57" s="238"/>
      <c r="G57" s="238"/>
      <c r="H57" s="238"/>
      <c r="I57" s="238"/>
      <c r="J57" s="238"/>
      <c r="K57" s="238"/>
      <c r="L57" s="238"/>
      <c r="M57" s="238"/>
      <c r="N57" s="238"/>
      <c r="O57" s="238"/>
      <c r="P57" s="238"/>
      <c r="Q57" s="238"/>
      <c r="R57" s="10"/>
      <c r="S57" s="13"/>
      <c r="T57" s="120" t="s">
        <v>886</v>
      </c>
      <c r="U57" s="38">
        <f>ROUNDDOWN((AA12/2),0)+(AA15)</f>
        <v>11</v>
      </c>
      <c r="V57" s="124" t="s">
        <v>770</v>
      </c>
      <c r="W57" s="124" t="s">
        <v>770</v>
      </c>
      <c r="X57" s="38">
        <f>IF(H21&lt;18,0,2)+IF(H20&lt;18,0,1)</f>
        <v>0</v>
      </c>
      <c r="Y57" s="121" t="s">
        <v>770</v>
      </c>
      <c r="Z57" s="65"/>
      <c r="AA57" s="127">
        <f t="shared" si="8"/>
        <v>11</v>
      </c>
      <c r="AB57" s="17"/>
      <c r="AC57" s="71"/>
      <c r="AD57" s="71"/>
      <c r="AE57" s="71"/>
      <c r="AF57" s="71"/>
      <c r="AG57" s="71"/>
      <c r="AH57" s="71"/>
      <c r="AI57" s="71"/>
      <c r="AJ57" s="71"/>
      <c r="AK57" s="16"/>
      <c r="AL57"/>
      <c r="AM57"/>
      <c r="AN57"/>
      <c r="AO57"/>
      <c r="AP57"/>
      <c r="AQ57"/>
      <c r="AR57"/>
      <c r="AS57"/>
      <c r="AT57"/>
      <c r="AU57"/>
      <c r="AV57"/>
      <c r="AW57"/>
      <c r="AX57"/>
      <c r="AY57" s="15"/>
    </row>
    <row r="58" spans="1:51" ht="14.1" customHeight="1" x14ac:dyDescent="0.15">
      <c r="A58" s="10"/>
      <c r="B58" s="238"/>
      <c r="C58" s="238"/>
      <c r="D58" s="238"/>
      <c r="E58" s="238"/>
      <c r="F58" s="238"/>
      <c r="G58" s="238"/>
      <c r="H58" s="238"/>
      <c r="I58" s="238"/>
      <c r="J58" s="238"/>
      <c r="K58" s="238"/>
      <c r="L58" s="238"/>
      <c r="M58" s="238"/>
      <c r="N58" s="238"/>
      <c r="O58" s="238"/>
      <c r="P58" s="238"/>
      <c r="Q58" s="238"/>
      <c r="R58" s="10"/>
      <c r="S58" s="13"/>
      <c r="T58" s="120" t="s">
        <v>792</v>
      </c>
      <c r="U58" s="38">
        <f>ROUNDDOWN((AA13/2),0)+ROUNDDOWN((AA14/2),0)</f>
        <v>6</v>
      </c>
      <c r="V58" s="124" t="s">
        <v>770</v>
      </c>
      <c r="W58" s="124" t="s">
        <v>770</v>
      </c>
      <c r="X58" s="124" t="s">
        <v>770</v>
      </c>
      <c r="Y58" s="121" t="s">
        <v>770</v>
      </c>
      <c r="Z58" s="65"/>
      <c r="AA58" s="122">
        <f t="shared" si="8"/>
        <v>6</v>
      </c>
      <c r="AB58" s="17"/>
      <c r="AC58" s="71"/>
      <c r="AD58" s="71"/>
      <c r="AE58" s="71"/>
      <c r="AF58" s="71"/>
      <c r="AG58" s="71"/>
      <c r="AH58" s="71"/>
      <c r="AI58" s="71"/>
      <c r="AJ58" s="71"/>
      <c r="AK58" s="16"/>
      <c r="AL58"/>
      <c r="AM58"/>
      <c r="AN58"/>
      <c r="AO58"/>
      <c r="AP58"/>
      <c r="AQ58"/>
      <c r="AR58"/>
      <c r="AS58"/>
      <c r="AT58"/>
      <c r="AU58"/>
      <c r="AV58"/>
      <c r="AW58"/>
      <c r="AX58"/>
      <c r="AY58" s="15"/>
    </row>
    <row r="59" spans="1:51" ht="14.1" customHeight="1" x14ac:dyDescent="0.15">
      <c r="A59" s="10"/>
      <c r="B59" s="238"/>
      <c r="C59" s="238"/>
      <c r="D59" s="238"/>
      <c r="E59" s="238"/>
      <c r="F59" s="238"/>
      <c r="G59" s="238"/>
      <c r="H59" s="238"/>
      <c r="I59" s="238"/>
      <c r="J59" s="238"/>
      <c r="K59" s="238"/>
      <c r="L59" s="238"/>
      <c r="M59" s="238"/>
      <c r="N59" s="238"/>
      <c r="O59" s="238"/>
      <c r="P59" s="238"/>
      <c r="Q59" s="238"/>
      <c r="R59" s="10"/>
      <c r="S59" s="13"/>
      <c r="T59" s="69" t="s">
        <v>794</v>
      </c>
      <c r="U59" s="70">
        <f>ROUNDDOWN(((AA12)+(AA16))/4,0)</f>
        <v>2</v>
      </c>
      <c r="V59" s="128" t="s">
        <v>770</v>
      </c>
      <c r="W59" s="128" t="s">
        <v>770</v>
      </c>
      <c r="X59" s="70">
        <f>IF(H19&lt;18,0,1)</f>
        <v>0</v>
      </c>
      <c r="Y59" s="70" t="str">
        <f>IF(C13="熟練",1,"　")</f>
        <v>　</v>
      </c>
      <c r="Z59" s="129"/>
      <c r="AA59" s="130">
        <f t="shared" si="8"/>
        <v>2</v>
      </c>
      <c r="AB59" s="17"/>
      <c r="AC59" s="71"/>
      <c r="AD59" s="71"/>
      <c r="AE59" s="71"/>
      <c r="AF59" s="71"/>
      <c r="AG59" s="71"/>
      <c r="AH59" s="71"/>
      <c r="AI59" s="71"/>
      <c r="AJ59" s="71"/>
      <c r="AK59" s="16"/>
      <c r="AL59"/>
      <c r="AM59"/>
      <c r="AN59"/>
      <c r="AO59"/>
      <c r="AP59"/>
      <c r="AQ59"/>
      <c r="AR59"/>
      <c r="AS59"/>
      <c r="AT59"/>
      <c r="AU59"/>
      <c r="AV59"/>
      <c r="AW59"/>
      <c r="AX59"/>
      <c r="AY59" s="15"/>
    </row>
    <row r="60" spans="1:51" ht="14.1" customHeight="1" x14ac:dyDescent="0.15">
      <c r="A60" s="10"/>
      <c r="B60" s="238"/>
      <c r="C60" s="238"/>
      <c r="D60" s="238"/>
      <c r="E60" s="238"/>
      <c r="F60" s="238"/>
      <c r="G60" s="238"/>
      <c r="H60" s="238"/>
      <c r="I60" s="238"/>
      <c r="J60" s="238"/>
      <c r="K60" s="238"/>
      <c r="L60" s="238"/>
      <c r="M60" s="238"/>
      <c r="N60" s="238"/>
      <c r="O60" s="238"/>
      <c r="P60" s="238"/>
      <c r="Q60" s="238"/>
      <c r="R60" s="10"/>
      <c r="S60" s="13"/>
      <c r="T60" s="13"/>
      <c r="U60" s="13"/>
      <c r="V60" s="13"/>
      <c r="W60" s="13"/>
      <c r="X60" s="13"/>
      <c r="Y60" s="13"/>
      <c r="Z60" s="13"/>
      <c r="AA60" s="13"/>
      <c r="AB60" s="13"/>
      <c r="AC60" s="71"/>
      <c r="AD60" s="71"/>
      <c r="AE60" s="71"/>
      <c r="AF60" s="71"/>
      <c r="AG60" s="71"/>
      <c r="AH60" s="71"/>
      <c r="AI60" s="71"/>
      <c r="AJ60" s="71"/>
      <c r="AK60" s="16"/>
      <c r="AL60"/>
      <c r="AM60"/>
      <c r="AN60"/>
      <c r="AO60"/>
      <c r="AP60"/>
      <c r="AQ60"/>
      <c r="AR60"/>
      <c r="AS60"/>
      <c r="AT60"/>
      <c r="AU60"/>
      <c r="AV60"/>
      <c r="AW60"/>
      <c r="AX60"/>
      <c r="AY60" s="15"/>
    </row>
    <row r="61" spans="1:51" ht="14.1" customHeight="1" x14ac:dyDescent="0.15">
      <c r="A61" s="10"/>
      <c r="B61" s="238"/>
      <c r="C61" s="238"/>
      <c r="D61" s="238"/>
      <c r="E61" s="238"/>
      <c r="F61" s="238"/>
      <c r="G61" s="238"/>
      <c r="H61" s="238"/>
      <c r="I61" s="238"/>
      <c r="J61" s="238"/>
      <c r="K61" s="238"/>
      <c r="L61" s="238"/>
      <c r="M61" s="238"/>
      <c r="N61" s="238"/>
      <c r="O61" s="238"/>
      <c r="P61" s="238"/>
      <c r="Q61" s="238"/>
      <c r="R61" s="10"/>
      <c r="S61" s="13"/>
      <c r="T61" s="239" t="s">
        <v>887</v>
      </c>
      <c r="U61" s="239"/>
      <c r="V61" s="239"/>
      <c r="W61" s="239"/>
      <c r="X61" s="239"/>
      <c r="Y61" s="239"/>
      <c r="Z61" s="239"/>
      <c r="AA61" s="239"/>
      <c r="AB61" s="17"/>
      <c r="AC61" s="71"/>
      <c r="AD61" s="71"/>
      <c r="AE61" s="71"/>
      <c r="AF61" s="71"/>
      <c r="AG61" s="71"/>
      <c r="AH61" s="71"/>
      <c r="AI61" s="71"/>
      <c r="AJ61" s="71"/>
      <c r="AK61" s="16"/>
      <c r="AL61"/>
      <c r="AM61"/>
      <c r="AN61"/>
      <c r="AO61"/>
      <c r="AP61"/>
      <c r="AQ61"/>
      <c r="AR61"/>
      <c r="AS61"/>
      <c r="AT61"/>
      <c r="AU61"/>
      <c r="AV61"/>
      <c r="AW61"/>
      <c r="AX61"/>
      <c r="AY61" s="15"/>
    </row>
    <row r="62" spans="1:51" ht="14.1" customHeight="1" x14ac:dyDescent="0.15">
      <c r="A62" s="10"/>
      <c r="B62" s="238"/>
      <c r="C62" s="238"/>
      <c r="D62" s="238"/>
      <c r="E62" s="238"/>
      <c r="F62" s="238"/>
      <c r="G62" s="238"/>
      <c r="H62" s="238"/>
      <c r="I62" s="238"/>
      <c r="J62" s="238"/>
      <c r="K62" s="238"/>
      <c r="L62" s="238"/>
      <c r="M62" s="238"/>
      <c r="N62" s="238"/>
      <c r="O62" s="238"/>
      <c r="P62" s="238"/>
      <c r="Q62" s="238"/>
      <c r="R62" s="10"/>
      <c r="S62" s="13"/>
      <c r="T62" s="240"/>
      <c r="U62" s="240"/>
      <c r="V62" s="131" t="s">
        <v>888</v>
      </c>
      <c r="W62" s="38" t="s">
        <v>889</v>
      </c>
      <c r="X62" s="38" t="s">
        <v>890</v>
      </c>
      <c r="Y62" s="38"/>
      <c r="Z62" s="241" t="s">
        <v>816</v>
      </c>
      <c r="AA62" s="241"/>
      <c r="AB62" s="17"/>
      <c r="AC62" s="71"/>
      <c r="AD62" s="71"/>
      <c r="AE62" s="71"/>
      <c r="AF62" s="71"/>
      <c r="AG62" s="71"/>
      <c r="AH62" s="71"/>
      <c r="AI62" s="71"/>
      <c r="AJ62" s="71"/>
      <c r="AK62" s="16"/>
      <c r="AL62"/>
      <c r="AM62"/>
      <c r="AN62"/>
      <c r="AO62"/>
      <c r="AP62"/>
      <c r="AQ62"/>
      <c r="AR62"/>
      <c r="AS62"/>
      <c r="AT62"/>
      <c r="AU62"/>
      <c r="AV62"/>
      <c r="AW62"/>
      <c r="AX62"/>
      <c r="AY62" s="15"/>
    </row>
    <row r="63" spans="1:51" ht="14.1" customHeight="1" x14ac:dyDescent="0.15">
      <c r="A63" s="10"/>
      <c r="B63" s="238"/>
      <c r="C63" s="238"/>
      <c r="D63" s="238"/>
      <c r="E63" s="238"/>
      <c r="F63" s="238"/>
      <c r="G63" s="238"/>
      <c r="H63" s="238"/>
      <c r="I63" s="238"/>
      <c r="J63" s="238"/>
      <c r="K63" s="238"/>
      <c r="L63" s="238"/>
      <c r="M63" s="238"/>
      <c r="N63" s="238"/>
      <c r="O63" s="238"/>
      <c r="P63" s="238"/>
      <c r="Q63" s="238"/>
      <c r="R63" s="10"/>
      <c r="S63" s="13"/>
      <c r="T63" s="240" t="s">
        <v>891</v>
      </c>
      <c r="U63" s="240"/>
      <c r="V63" s="38">
        <f>AA10</f>
        <v>2</v>
      </c>
      <c r="W63" s="124">
        <f>ROUNDDOWN((AA11/2),0)</f>
        <v>2</v>
      </c>
      <c r="X63" s="38"/>
      <c r="Y63" s="38"/>
      <c r="Z63" s="232">
        <f>ROUNDDOWN((V63+W63)/2,0)</f>
        <v>2</v>
      </c>
      <c r="AA63" s="232" t="s">
        <v>892</v>
      </c>
      <c r="AB63" s="17"/>
      <c r="AC63" s="71"/>
      <c r="AD63" s="71"/>
      <c r="AE63" s="71"/>
      <c r="AF63" s="71"/>
      <c r="AG63" s="71"/>
      <c r="AH63" s="71"/>
      <c r="AI63" s="71"/>
      <c r="AJ63" s="71"/>
      <c r="AK63" s="17"/>
      <c r="AL63"/>
      <c r="AM63"/>
      <c r="AN63"/>
      <c r="AO63"/>
      <c r="AP63"/>
      <c r="AQ63"/>
      <c r="AR63"/>
      <c r="AS63"/>
      <c r="AT63"/>
      <c r="AU63"/>
      <c r="AV63"/>
      <c r="AW63"/>
      <c r="AX63"/>
      <c r="AY63" s="15"/>
    </row>
    <row r="64" spans="1:51" ht="14.1" customHeight="1" x14ac:dyDescent="0.15">
      <c r="A64" s="10"/>
      <c r="B64" s="238"/>
      <c r="C64" s="238"/>
      <c r="D64" s="238"/>
      <c r="E64" s="238"/>
      <c r="F64" s="238"/>
      <c r="G64" s="238"/>
      <c r="H64" s="238"/>
      <c r="I64" s="238"/>
      <c r="J64" s="238"/>
      <c r="K64" s="238"/>
      <c r="L64" s="238"/>
      <c r="M64" s="238"/>
      <c r="N64" s="238"/>
      <c r="O64" s="238"/>
      <c r="P64" s="238"/>
      <c r="Q64" s="238"/>
      <c r="R64" s="10"/>
      <c r="S64" s="13"/>
      <c r="T64" s="240" t="s">
        <v>893</v>
      </c>
      <c r="U64" s="240"/>
      <c r="V64" s="38">
        <f>ROUNDDOWN((AA14/2),0)+ROUNDDOWN((AA15/2),0)</f>
        <v>8</v>
      </c>
      <c r="W64" s="38">
        <v>10</v>
      </c>
      <c r="X64" s="38"/>
      <c r="Y64" s="38"/>
      <c r="Z64" s="232">
        <f>ROUNDDOWN((V64+W64)/2,0)</f>
        <v>9</v>
      </c>
      <c r="AA64" s="232" t="s">
        <v>892</v>
      </c>
      <c r="AB64" s="13"/>
      <c r="AC64" s="71"/>
      <c r="AD64" s="71"/>
      <c r="AE64" s="71"/>
      <c r="AF64" s="71"/>
      <c r="AG64" s="71"/>
      <c r="AH64" s="71"/>
      <c r="AI64" s="71"/>
      <c r="AJ64" s="71"/>
      <c r="AK64" s="17"/>
      <c r="AL64"/>
      <c r="AM64"/>
      <c r="AN64"/>
      <c r="AO64"/>
      <c r="AP64"/>
      <c r="AQ64"/>
      <c r="AR64"/>
      <c r="AS64"/>
      <c r="AT64"/>
      <c r="AU64"/>
      <c r="AV64"/>
      <c r="AW64"/>
      <c r="AX64"/>
      <c r="AY64" s="15"/>
    </row>
    <row r="65" spans="1:51" ht="14.1" customHeight="1" x14ac:dyDescent="0.15">
      <c r="A65" s="10"/>
      <c r="B65" s="238"/>
      <c r="C65" s="238"/>
      <c r="D65" s="238"/>
      <c r="E65" s="238"/>
      <c r="F65" s="238"/>
      <c r="G65" s="238"/>
      <c r="H65" s="238"/>
      <c r="I65" s="238"/>
      <c r="J65" s="238"/>
      <c r="K65" s="238"/>
      <c r="L65" s="238"/>
      <c r="M65" s="238"/>
      <c r="N65" s="238"/>
      <c r="O65" s="238"/>
      <c r="P65" s="238"/>
      <c r="Q65" s="238"/>
      <c r="R65" s="10"/>
      <c r="S65" s="13"/>
      <c r="T65" s="233" t="s">
        <v>894</v>
      </c>
      <c r="U65" s="233"/>
      <c r="V65" s="70">
        <f>AA58</f>
        <v>6</v>
      </c>
      <c r="W65" s="70">
        <f>ROUNDDOWN((AA55/2),0)</f>
        <v>3</v>
      </c>
      <c r="X65" s="70">
        <v>4</v>
      </c>
      <c r="Y65" s="70"/>
      <c r="Z65" s="234">
        <f>ROUNDDOWN((V65+W65)/2,0)+X65</f>
        <v>8</v>
      </c>
      <c r="AA65" s="234" t="s">
        <v>892</v>
      </c>
      <c r="AB65" s="13"/>
      <c r="AC65" s="71"/>
      <c r="AD65" s="71"/>
      <c r="AE65" s="71"/>
      <c r="AF65" s="71"/>
      <c r="AG65" s="71"/>
      <c r="AH65" s="71"/>
      <c r="AI65" s="71"/>
      <c r="AJ65" s="71"/>
      <c r="AK65" s="17"/>
      <c r="AL65"/>
      <c r="AM65"/>
      <c r="AN65"/>
      <c r="AO65"/>
      <c r="AP65"/>
      <c r="AQ65"/>
      <c r="AR65"/>
      <c r="AS65"/>
      <c r="AT65"/>
      <c r="AU65"/>
      <c r="AV65"/>
      <c r="AW65"/>
      <c r="AX65"/>
      <c r="AY65" s="15"/>
    </row>
    <row r="66" spans="1:51" ht="14.1" customHeight="1" x14ac:dyDescent="0.15">
      <c r="A66" s="10"/>
      <c r="B66" s="238"/>
      <c r="C66" s="238"/>
      <c r="D66" s="238"/>
      <c r="E66" s="238"/>
      <c r="F66" s="238"/>
      <c r="G66" s="238"/>
      <c r="H66" s="238"/>
      <c r="I66" s="238"/>
      <c r="J66" s="238"/>
      <c r="K66" s="238"/>
      <c r="L66" s="238"/>
      <c r="M66" s="238"/>
      <c r="N66" s="238"/>
      <c r="O66" s="238"/>
      <c r="P66" s="238"/>
      <c r="Q66" s="238"/>
      <c r="R66" s="10"/>
      <c r="S66" s="13"/>
      <c r="T66" s="13"/>
      <c r="U66" s="13"/>
      <c r="V66" s="13"/>
      <c r="W66" s="13"/>
      <c r="X66" s="13"/>
      <c r="Y66" s="13"/>
      <c r="Z66" s="13"/>
      <c r="AA66" s="13"/>
      <c r="AB66" s="13"/>
      <c r="AC66" s="71"/>
      <c r="AD66" s="71"/>
      <c r="AE66" s="71"/>
      <c r="AF66" s="71"/>
      <c r="AG66" s="71"/>
      <c r="AH66" s="71"/>
      <c r="AI66" s="71"/>
      <c r="AJ66" s="71"/>
      <c r="AK66" s="71"/>
      <c r="AL66"/>
      <c r="AM66"/>
      <c r="AN66"/>
      <c r="AO66"/>
      <c r="AP66"/>
      <c r="AQ66"/>
      <c r="AR66"/>
      <c r="AS66"/>
      <c r="AT66"/>
      <c r="AU66"/>
      <c r="AV66"/>
      <c r="AW66"/>
      <c r="AX66"/>
      <c r="AY66" s="15"/>
    </row>
    <row r="67" spans="1:51" ht="14.1" customHeight="1" x14ac:dyDescent="0.15">
      <c r="A67" s="10"/>
      <c r="B67" s="10"/>
      <c r="C67" s="10"/>
      <c r="D67" s="10"/>
      <c r="E67" s="10"/>
      <c r="F67" s="10"/>
      <c r="G67" s="10"/>
      <c r="H67" s="10"/>
      <c r="I67" s="10"/>
      <c r="J67" s="10"/>
      <c r="K67" s="10"/>
      <c r="L67" s="10"/>
      <c r="M67" s="10"/>
      <c r="N67" s="10"/>
      <c r="O67" s="10"/>
      <c r="P67" s="10"/>
      <c r="Q67" s="10"/>
      <c r="R67" s="10"/>
      <c r="S67" s="13"/>
      <c r="T67" s="13"/>
      <c r="U67" s="13"/>
      <c r="V67" s="13"/>
      <c r="W67" s="13"/>
      <c r="X67" s="13"/>
      <c r="Y67" s="13"/>
      <c r="Z67" s="13"/>
      <c r="AA67" s="13"/>
      <c r="AB67" s="13"/>
      <c r="AC67" s="13"/>
      <c r="AD67" s="13"/>
      <c r="AE67" s="13"/>
      <c r="AF67" s="13"/>
      <c r="AG67" s="13"/>
      <c r="AH67" s="13"/>
      <c r="AI67" s="13"/>
      <c r="AJ67" s="13"/>
      <c r="AK67" s="13"/>
      <c r="AL67"/>
      <c r="AM67"/>
      <c r="AN67"/>
      <c r="AO67"/>
      <c r="AP67"/>
      <c r="AQ67"/>
      <c r="AR67"/>
      <c r="AS67"/>
      <c r="AT67"/>
      <c r="AU67"/>
      <c r="AV67"/>
      <c r="AW67"/>
      <c r="AX67"/>
      <c r="AY67" s="15"/>
    </row>
    <row r="68" spans="1:51" ht="14.1" customHeight="1" x14ac:dyDescent="0.15">
      <c r="A68" s="10"/>
      <c r="B68" s="10"/>
      <c r="C68" s="10"/>
      <c r="D68" s="10"/>
      <c r="E68" s="10"/>
      <c r="F68" s="10"/>
      <c r="G68" s="10"/>
      <c r="H68" s="10"/>
      <c r="I68" s="10"/>
      <c r="J68" s="10"/>
      <c r="K68" s="10"/>
      <c r="L68" s="10"/>
      <c r="M68" s="10"/>
      <c r="N68" s="10"/>
      <c r="O68" s="10"/>
      <c r="P68" s="10"/>
      <c r="Q68" s="10"/>
      <c r="R68" s="10"/>
      <c r="S68" s="13"/>
      <c r="T68" s="13"/>
      <c r="U68" s="13"/>
      <c r="V68" s="13"/>
      <c r="W68" s="13"/>
      <c r="X68" s="13"/>
      <c r="Y68" s="13"/>
      <c r="Z68" s="13"/>
      <c r="AA68" s="13"/>
      <c r="AB68" s="13"/>
      <c r="AC68" s="13"/>
      <c r="AD68" s="13"/>
      <c r="AE68" s="13"/>
      <c r="AF68" s="13"/>
      <c r="AG68" s="13"/>
      <c r="AH68" s="13"/>
      <c r="AI68" s="13"/>
      <c r="AJ68" s="13"/>
      <c r="AK68" s="13"/>
      <c r="AL68"/>
      <c r="AM68"/>
      <c r="AN68"/>
      <c r="AO68"/>
      <c r="AP68"/>
      <c r="AQ68"/>
      <c r="AR68"/>
      <c r="AS68"/>
      <c r="AT68"/>
      <c r="AU68"/>
      <c r="AV68"/>
      <c r="AW68"/>
      <c r="AX68"/>
      <c r="AY68" s="15"/>
    </row>
    <row r="69" spans="1:51" ht="14.1" customHeight="1" x14ac:dyDescent="0.15">
      <c r="A69" s="10"/>
      <c r="B69" s="10"/>
      <c r="C69" s="10"/>
      <c r="D69" s="10"/>
      <c r="E69" s="10"/>
      <c r="F69" s="10"/>
      <c r="G69" s="10"/>
      <c r="H69" s="10"/>
      <c r="I69" s="10"/>
      <c r="J69" s="10"/>
      <c r="K69" s="10"/>
      <c r="L69" s="10"/>
      <c r="M69" s="10"/>
      <c r="N69" s="10"/>
      <c r="O69" s="10"/>
      <c r="P69" s="10"/>
      <c r="Q69" s="10"/>
      <c r="R69" s="10"/>
      <c r="S69" s="13"/>
      <c r="T69" s="13"/>
      <c r="U69" s="13"/>
      <c r="V69" s="13"/>
      <c r="W69" s="13"/>
      <c r="X69" s="13"/>
      <c r="Y69" s="13"/>
      <c r="Z69" s="13"/>
      <c r="AA69" s="13"/>
      <c r="AB69" s="13"/>
      <c r="AC69" s="13"/>
      <c r="AD69" s="13"/>
      <c r="AE69" s="13"/>
      <c r="AF69" s="13"/>
      <c r="AG69" s="13"/>
      <c r="AH69" s="13"/>
      <c r="AI69" s="13"/>
      <c r="AJ69" s="13"/>
      <c r="AK69" s="13"/>
      <c r="AL69"/>
      <c r="AM69"/>
      <c r="AN69"/>
      <c r="AO69"/>
      <c r="AP69"/>
      <c r="AQ69"/>
      <c r="AR69"/>
      <c r="AS69"/>
      <c r="AT69"/>
      <c r="AU69"/>
      <c r="AV69"/>
      <c r="AW69"/>
      <c r="AX69"/>
      <c r="AY69" s="15"/>
    </row>
    <row r="70" spans="1:51" ht="14.1" customHeight="1" x14ac:dyDescent="0.15">
      <c r="A70" s="10"/>
      <c r="B70" s="10"/>
      <c r="C70" s="10"/>
      <c r="D70" s="10"/>
      <c r="E70" s="10"/>
      <c r="F70" s="10"/>
      <c r="G70" s="10"/>
      <c r="H70" s="10"/>
      <c r="I70" s="10"/>
      <c r="J70" s="10"/>
      <c r="K70" s="10"/>
      <c r="L70" s="10"/>
      <c r="M70" s="10"/>
      <c r="N70" s="10"/>
      <c r="O70" s="10"/>
      <c r="P70" s="10"/>
      <c r="Q70" s="10"/>
      <c r="R70" s="10"/>
      <c r="S70" s="13"/>
      <c r="T70" s="13"/>
      <c r="U70" s="13"/>
      <c r="V70" s="13"/>
      <c r="W70" s="13"/>
      <c r="X70" s="13"/>
      <c r="Y70" s="13"/>
      <c r="Z70" s="13"/>
      <c r="AA70" s="13"/>
      <c r="AB70" s="13"/>
      <c r="AC70" s="13"/>
      <c r="AD70" s="13"/>
      <c r="AE70" s="13"/>
      <c r="AF70" s="13"/>
      <c r="AG70" s="13"/>
      <c r="AH70" s="13"/>
      <c r="AI70" s="13"/>
      <c r="AJ70" s="13"/>
      <c r="AK70" s="13"/>
      <c r="AL70"/>
      <c r="AM70"/>
      <c r="AN70"/>
      <c r="AO70"/>
      <c r="AP70"/>
      <c r="AQ70"/>
      <c r="AR70"/>
      <c r="AS70"/>
      <c r="AT70"/>
      <c r="AU70"/>
      <c r="AV70"/>
      <c r="AW70"/>
      <c r="AX70"/>
      <c r="AY70" s="15"/>
    </row>
    <row r="71" spans="1:51" ht="14.1" customHeight="1" x14ac:dyDescent="0.15">
      <c r="A71" s="10"/>
      <c r="B71" s="10"/>
      <c r="C71" s="10"/>
      <c r="D71" s="10"/>
      <c r="E71" s="10"/>
      <c r="F71" s="10"/>
      <c r="G71" s="10"/>
      <c r="H71" s="10"/>
      <c r="I71" s="10"/>
      <c r="J71" s="10"/>
      <c r="K71" s="10"/>
      <c r="L71" s="10"/>
      <c r="M71" s="10"/>
      <c r="N71" s="10"/>
      <c r="O71" s="10"/>
      <c r="P71" s="10"/>
      <c r="Q71" s="10"/>
      <c r="R71" s="10"/>
      <c r="S71" s="13"/>
      <c r="T71" s="13"/>
      <c r="U71" s="13"/>
      <c r="V71" s="13"/>
      <c r="W71" s="13"/>
      <c r="X71" s="13"/>
      <c r="Y71" s="13"/>
      <c r="Z71" s="13"/>
      <c r="AA71" s="13"/>
      <c r="AB71" s="13"/>
      <c r="AC71" s="13"/>
      <c r="AD71" s="13"/>
      <c r="AE71" s="13"/>
      <c r="AF71" s="13"/>
      <c r="AG71" s="13"/>
      <c r="AH71" s="13"/>
      <c r="AI71" s="13"/>
      <c r="AJ71" s="13"/>
      <c r="AK71" s="13"/>
      <c r="AL71"/>
      <c r="AM71"/>
      <c r="AN71"/>
      <c r="AO71"/>
      <c r="AP71"/>
      <c r="AQ71"/>
      <c r="AR71"/>
      <c r="AS71"/>
      <c r="AT71"/>
      <c r="AU71"/>
      <c r="AV71"/>
      <c r="AW71"/>
      <c r="AX71"/>
      <c r="AY71" s="15"/>
    </row>
    <row r="72" spans="1:51" ht="14.1" customHeight="1" x14ac:dyDescent="0.15">
      <c r="A72" s="10"/>
      <c r="B72" s="10"/>
      <c r="C72" s="10"/>
      <c r="D72" s="10"/>
      <c r="E72" s="10"/>
      <c r="F72" s="10"/>
      <c r="G72" s="10"/>
      <c r="H72" s="10"/>
      <c r="I72" s="10"/>
      <c r="J72" s="10"/>
      <c r="K72" s="10"/>
      <c r="L72" s="10"/>
      <c r="M72" s="10"/>
      <c r="N72" s="10"/>
      <c r="O72" s="10"/>
      <c r="P72" s="10"/>
      <c r="Q72" s="10"/>
      <c r="R72" s="10"/>
      <c r="S72" s="13"/>
      <c r="T72" s="13"/>
      <c r="U72" s="13"/>
      <c r="V72" s="13"/>
      <c r="W72" s="13"/>
      <c r="X72" s="13"/>
      <c r="Y72" s="13"/>
      <c r="Z72" s="13"/>
      <c r="AA72" s="13"/>
      <c r="AB72" s="13"/>
      <c r="AC72" s="13"/>
      <c r="AD72" s="13"/>
      <c r="AE72" s="13"/>
      <c r="AF72" s="13"/>
      <c r="AG72" s="13"/>
      <c r="AH72" s="13"/>
      <c r="AI72" s="13"/>
      <c r="AJ72" s="13"/>
      <c r="AK72" s="13"/>
      <c r="AL72"/>
      <c r="AM72"/>
      <c r="AN72"/>
      <c r="AO72"/>
      <c r="AP72"/>
      <c r="AQ72"/>
      <c r="AR72"/>
      <c r="AS72"/>
      <c r="AT72"/>
      <c r="AU72"/>
      <c r="AV72"/>
      <c r="AW72"/>
      <c r="AX72"/>
      <c r="AY72" s="15"/>
    </row>
    <row r="73" spans="1:51" ht="14.1" customHeight="1" x14ac:dyDescent="0.15">
      <c r="A73"/>
      <c r="B73"/>
      <c r="C73"/>
      <c r="D73"/>
      <c r="E73"/>
      <c r="F73"/>
      <c r="G73"/>
      <c r="H73"/>
      <c r="I73"/>
      <c r="J73"/>
      <c r="K73"/>
      <c r="L73"/>
      <c r="M73"/>
      <c r="N73"/>
      <c r="O73"/>
      <c r="P73"/>
      <c r="Q73"/>
      <c r="R73"/>
      <c r="S73"/>
      <c r="T73"/>
      <c r="U73"/>
      <c r="V73"/>
      <c r="W73"/>
      <c r="X73"/>
      <c r="Y73"/>
      <c r="Z73"/>
      <c r="AA73"/>
      <c r="AB73"/>
      <c r="AC73"/>
      <c r="AD73"/>
      <c r="AE73"/>
      <c r="AF73"/>
      <c r="AG73"/>
      <c r="AH73"/>
      <c r="AI73"/>
      <c r="AJ73"/>
      <c r="AK73"/>
      <c r="AL73"/>
      <c r="AM73"/>
      <c r="AN73"/>
      <c r="AO73"/>
      <c r="AP73"/>
      <c r="AQ73"/>
      <c r="AR73"/>
      <c r="AS73"/>
      <c r="AT73"/>
      <c r="AU73"/>
      <c r="AV73"/>
      <c r="AW73"/>
      <c r="AX73"/>
    </row>
    <row r="74" spans="1:51" ht="14.1" customHeight="1" x14ac:dyDescent="0.15">
      <c r="A74"/>
      <c r="B74"/>
      <c r="C74"/>
      <c r="D74"/>
      <c r="E74"/>
      <c r="F74"/>
      <c r="G74"/>
      <c r="H74"/>
      <c r="I74"/>
      <c r="J74"/>
      <c r="K74"/>
      <c r="L74"/>
      <c r="M74"/>
      <c r="N74"/>
      <c r="O74"/>
      <c r="P74"/>
      <c r="Q74"/>
      <c r="R74"/>
      <c r="S74"/>
      <c r="T74"/>
      <c r="U74"/>
      <c r="V74"/>
      <c r="W74"/>
      <c r="X74"/>
      <c r="Y74"/>
      <c r="Z74"/>
      <c r="AA74"/>
      <c r="AB74"/>
      <c r="AC74"/>
      <c r="AD74"/>
      <c r="AE74"/>
      <c r="AF74"/>
      <c r="AG74"/>
      <c r="AH74"/>
      <c r="AI74"/>
      <c r="AJ74"/>
      <c r="AK74"/>
      <c r="AL74"/>
      <c r="AM74"/>
      <c r="AN74"/>
      <c r="AO74"/>
      <c r="AP74"/>
      <c r="AQ74"/>
      <c r="AR74"/>
      <c r="AS74"/>
      <c r="AT74"/>
      <c r="AU74"/>
      <c r="AV74" s="15"/>
      <c r="AW74" s="15"/>
      <c r="AX74" s="15"/>
    </row>
    <row r="75" spans="1:51" ht="14.1" customHeight="1" x14ac:dyDescent="0.15">
      <c r="A75"/>
      <c r="B75"/>
      <c r="C75"/>
      <c r="D75"/>
      <c r="E75"/>
      <c r="F75"/>
      <c r="G75"/>
      <c r="H75"/>
      <c r="I75"/>
      <c r="J75"/>
      <c r="K75"/>
      <c r="L75"/>
      <c r="M75"/>
      <c r="N75"/>
      <c r="O75"/>
      <c r="P75"/>
      <c r="Q75"/>
      <c r="R75"/>
      <c r="S75"/>
      <c r="T75"/>
      <c r="U75"/>
      <c r="V75"/>
      <c r="W75"/>
      <c r="X75"/>
      <c r="Y75"/>
      <c r="Z75"/>
      <c r="AA75"/>
      <c r="AB75"/>
      <c r="AC75"/>
      <c r="AD75"/>
      <c r="AE75"/>
      <c r="AF75"/>
      <c r="AG75"/>
      <c r="AH75"/>
      <c r="AI75"/>
      <c r="AJ75"/>
      <c r="AK75"/>
      <c r="AL75"/>
      <c r="AM75"/>
      <c r="AN75"/>
      <c r="AO75"/>
      <c r="AP75"/>
      <c r="AQ75"/>
      <c r="AR75"/>
      <c r="AS75"/>
      <c r="AT75"/>
      <c r="AU75"/>
      <c r="AV75" s="15"/>
      <c r="AW75" s="15"/>
      <c r="AX75" s="15"/>
    </row>
    <row r="76" spans="1:51" ht="14.1" customHeight="1" x14ac:dyDescent="0.15">
      <c r="A76"/>
      <c r="B76"/>
      <c r="C76"/>
      <c r="D76"/>
      <c r="E76"/>
      <c r="F76"/>
      <c r="G76"/>
      <c r="H76"/>
      <c r="I76"/>
      <c r="J76"/>
      <c r="K76"/>
      <c r="L76"/>
      <c r="M76"/>
      <c r="N76"/>
      <c r="O76"/>
      <c r="P76"/>
      <c r="Q76"/>
      <c r="R76"/>
      <c r="S76"/>
      <c r="T76"/>
      <c r="U76"/>
      <c r="V76"/>
      <c r="W76"/>
      <c r="X76"/>
      <c r="Y76"/>
      <c r="Z76"/>
      <c r="AA76"/>
      <c r="AB76"/>
      <c r="AC76"/>
      <c r="AD76"/>
      <c r="AE76"/>
      <c r="AF76"/>
      <c r="AG76"/>
      <c r="AH76"/>
      <c r="AI76"/>
      <c r="AJ76"/>
      <c r="AK76"/>
      <c r="AL76"/>
      <c r="AM76"/>
      <c r="AN76"/>
      <c r="AO76"/>
      <c r="AP76"/>
      <c r="AQ76"/>
      <c r="AR76"/>
      <c r="AS76"/>
      <c r="AT76"/>
      <c r="AU76"/>
      <c r="AV76" s="15"/>
      <c r="AW76" s="15"/>
      <c r="AX76" s="15"/>
    </row>
    <row r="77" spans="1:51" ht="14.1" customHeight="1" x14ac:dyDescent="0.15">
      <c r="A77"/>
      <c r="B77"/>
      <c r="C77"/>
      <c r="D77"/>
      <c r="E77"/>
      <c r="F77"/>
      <c r="G77"/>
      <c r="H77"/>
      <c r="I77"/>
      <c r="J77"/>
      <c r="K77"/>
      <c r="L77"/>
      <c r="M77"/>
      <c r="N77"/>
      <c r="O77"/>
      <c r="P77"/>
      <c r="Q77"/>
      <c r="R77"/>
      <c r="S77"/>
      <c r="T77"/>
      <c r="U77"/>
      <c r="V77"/>
      <c r="W77"/>
      <c r="X77"/>
      <c r="Y77"/>
      <c r="Z77"/>
      <c r="AA77"/>
      <c r="AB77"/>
      <c r="AC77"/>
      <c r="AD77"/>
      <c r="AE77"/>
      <c r="AF77"/>
      <c r="AG77"/>
      <c r="AH77"/>
      <c r="AI77"/>
      <c r="AJ77"/>
      <c r="AK77"/>
      <c r="AL77"/>
      <c r="AM77"/>
      <c r="AN77"/>
      <c r="AO77"/>
      <c r="AP77"/>
      <c r="AQ77"/>
      <c r="AR77"/>
      <c r="AS77"/>
      <c r="AT77"/>
      <c r="AU77"/>
      <c r="AV77" s="15"/>
      <c r="AW77" s="15"/>
      <c r="AX77" s="15"/>
    </row>
    <row r="78" spans="1:51" ht="14.1" customHeight="1" x14ac:dyDescent="0.15">
      <c r="A78"/>
      <c r="B78"/>
      <c r="C78"/>
      <c r="D78"/>
      <c r="E78"/>
      <c r="F78"/>
      <c r="G78"/>
      <c r="H78"/>
      <c r="I78"/>
      <c r="J78"/>
      <c r="K78"/>
      <c r="L78"/>
      <c r="M78"/>
      <c r="N78"/>
      <c r="O78"/>
      <c r="P78"/>
      <c r="Q78"/>
      <c r="R78"/>
      <c r="S78"/>
      <c r="T78"/>
      <c r="U78"/>
      <c r="V78"/>
      <c r="W78"/>
      <c r="X78"/>
      <c r="Y78"/>
      <c r="Z78"/>
      <c r="AA78"/>
      <c r="AB78"/>
      <c r="AC78"/>
      <c r="AD78"/>
      <c r="AE78"/>
      <c r="AF78"/>
      <c r="AG78"/>
      <c r="AH78"/>
      <c r="AI78"/>
      <c r="AJ78"/>
      <c r="AK78"/>
      <c r="AL78"/>
      <c r="AM78"/>
      <c r="AN78"/>
      <c r="AO78"/>
      <c r="AP78"/>
      <c r="AQ78"/>
      <c r="AR78"/>
      <c r="AS78"/>
      <c r="AT78"/>
      <c r="AU78"/>
      <c r="AV78" s="15"/>
      <c r="AW78" s="15"/>
      <c r="AX78" s="15"/>
    </row>
    <row r="79" spans="1:51" ht="14.1" customHeight="1" x14ac:dyDescent="0.15">
      <c r="A79"/>
      <c r="B79"/>
      <c r="C79"/>
      <c r="D79"/>
      <c r="E79"/>
      <c r="F79"/>
      <c r="G79"/>
      <c r="H79"/>
      <c r="I79"/>
      <c r="J79"/>
      <c r="K79"/>
      <c r="L79"/>
      <c r="M79"/>
      <c r="N79"/>
      <c r="O79"/>
      <c r="P79"/>
      <c r="Q79"/>
      <c r="R79"/>
      <c r="S79"/>
      <c r="T79"/>
      <c r="U79"/>
      <c r="V79"/>
      <c r="W79"/>
      <c r="X79"/>
      <c r="Y79"/>
      <c r="Z79"/>
      <c r="AA79"/>
      <c r="AB79"/>
      <c r="AC79"/>
      <c r="AD79"/>
      <c r="AE79"/>
      <c r="AF79"/>
      <c r="AG79"/>
      <c r="AH79"/>
      <c r="AI79"/>
      <c r="AJ79"/>
      <c r="AK79"/>
      <c r="AL79"/>
      <c r="AM79"/>
      <c r="AN79"/>
      <c r="AO79"/>
      <c r="AP79"/>
      <c r="AQ79"/>
      <c r="AR79"/>
      <c r="AS79"/>
      <c r="AT79"/>
      <c r="AU79"/>
      <c r="AV79" s="15"/>
      <c r="AW79" s="15"/>
      <c r="AX79" s="15"/>
    </row>
    <row r="80" spans="1:51" ht="14.1" customHeight="1" x14ac:dyDescent="0.15">
      <c r="A80"/>
      <c r="B80"/>
      <c r="C80"/>
      <c r="D80"/>
      <c r="E80"/>
      <c r="F80"/>
      <c r="G80"/>
      <c r="H80"/>
      <c r="I80"/>
      <c r="J80"/>
      <c r="K80"/>
      <c r="L80"/>
      <c r="M80"/>
      <c r="N80"/>
      <c r="O80"/>
      <c r="P80"/>
      <c r="Q80"/>
      <c r="R80"/>
      <c r="S80"/>
      <c r="T80"/>
      <c r="U80"/>
      <c r="V80"/>
      <c r="W80"/>
      <c r="X80"/>
      <c r="Y80"/>
      <c r="Z80"/>
      <c r="AA80"/>
      <c r="AB80"/>
      <c r="AC80"/>
      <c r="AD80"/>
      <c r="AE80"/>
      <c r="AF80"/>
      <c r="AG80"/>
      <c r="AH80"/>
      <c r="AI80"/>
      <c r="AJ80"/>
      <c r="AK80"/>
      <c r="AL80"/>
      <c r="AM80"/>
      <c r="AN80"/>
      <c r="AO80"/>
      <c r="AP80"/>
      <c r="AQ80"/>
      <c r="AR80"/>
      <c r="AS80"/>
      <c r="AT80"/>
      <c r="AU80"/>
      <c r="AV80" s="15"/>
      <c r="AW80" s="15"/>
      <c r="AX80" s="15"/>
    </row>
    <row r="81" spans="1:50" ht="14.1" customHeight="1" x14ac:dyDescent="0.15">
      <c r="A81"/>
      <c r="B81"/>
      <c r="C81"/>
      <c r="D81"/>
      <c r="E81"/>
      <c r="F81"/>
      <c r="G81"/>
      <c r="H81"/>
      <c r="I81"/>
      <c r="J81"/>
      <c r="K81"/>
      <c r="L81"/>
      <c r="M81"/>
      <c r="N81"/>
      <c r="O81"/>
      <c r="P81"/>
      <c r="Q81"/>
      <c r="R81"/>
      <c r="S81"/>
      <c r="T81"/>
      <c r="U81"/>
      <c r="V81"/>
      <c r="W81"/>
      <c r="X81"/>
      <c r="Y81"/>
      <c r="Z81"/>
      <c r="AA81"/>
      <c r="AB81"/>
      <c r="AC81"/>
      <c r="AD81"/>
      <c r="AE81"/>
      <c r="AF81"/>
      <c r="AG81"/>
      <c r="AH81"/>
      <c r="AI81"/>
      <c r="AJ81"/>
      <c r="AK81"/>
      <c r="AL81"/>
      <c r="AM81"/>
      <c r="AN81"/>
      <c r="AO81"/>
      <c r="AP81"/>
      <c r="AQ81"/>
      <c r="AR81"/>
      <c r="AS81"/>
      <c r="AT81"/>
      <c r="AU81"/>
      <c r="AV81" s="15"/>
      <c r="AW81" s="15"/>
      <c r="AX81" s="15"/>
    </row>
    <row r="82" spans="1:50" ht="14.1" customHeight="1" x14ac:dyDescent="0.15">
      <c r="A82"/>
      <c r="B82"/>
      <c r="C82"/>
      <c r="D82"/>
      <c r="E82"/>
      <c r="F82"/>
      <c r="G82"/>
      <c r="H82"/>
      <c r="I82"/>
      <c r="J82"/>
      <c r="K82"/>
      <c r="L82"/>
      <c r="M82"/>
      <c r="N82"/>
      <c r="O82"/>
      <c r="P82"/>
      <c r="Q82"/>
      <c r="R82"/>
      <c r="S82"/>
      <c r="T82"/>
      <c r="U82"/>
      <c r="V82"/>
      <c r="W82"/>
      <c r="X82"/>
      <c r="Y82"/>
      <c r="Z82"/>
      <c r="AA82"/>
      <c r="AB82"/>
      <c r="AC82"/>
      <c r="AD82"/>
      <c r="AE82"/>
      <c r="AF82"/>
      <c r="AG82"/>
      <c r="AH82"/>
      <c r="AI82"/>
      <c r="AJ82"/>
      <c r="AK82"/>
      <c r="AL82"/>
      <c r="AM82"/>
      <c r="AN82"/>
      <c r="AO82"/>
      <c r="AP82"/>
      <c r="AQ82"/>
      <c r="AR82"/>
      <c r="AS82"/>
      <c r="AT82"/>
      <c r="AU82"/>
      <c r="AV82" s="15"/>
      <c r="AW82" s="15"/>
    </row>
    <row r="83" spans="1:50" ht="14.1" customHeight="1" x14ac:dyDescent="0.15">
      <c r="A83"/>
      <c r="B83"/>
      <c r="C83"/>
      <c r="D83"/>
      <c r="E83"/>
      <c r="F83"/>
      <c r="G83"/>
      <c r="H83"/>
      <c r="I83"/>
      <c r="J83"/>
      <c r="K83"/>
      <c r="L83"/>
      <c r="M83"/>
      <c r="N83"/>
      <c r="O83"/>
      <c r="P83"/>
      <c r="Q83"/>
      <c r="R83"/>
      <c r="S83"/>
      <c r="T83"/>
      <c r="U83"/>
      <c r="V83"/>
      <c r="W83"/>
      <c r="X83"/>
      <c r="Y83"/>
      <c r="Z83"/>
      <c r="AA83"/>
      <c r="AB83"/>
      <c r="AC83"/>
      <c r="AD83"/>
      <c r="AE83"/>
      <c r="AF83"/>
      <c r="AG83"/>
      <c r="AH83"/>
      <c r="AI83"/>
      <c r="AJ83"/>
      <c r="AK83"/>
      <c r="AL83"/>
      <c r="AM83"/>
      <c r="AN83"/>
      <c r="AO83"/>
      <c r="AP83"/>
      <c r="AQ83"/>
      <c r="AR83"/>
      <c r="AS83"/>
      <c r="AT83"/>
      <c r="AU83"/>
      <c r="AV83" s="15"/>
      <c r="AW83" s="15"/>
    </row>
    <row r="84" spans="1:50" ht="14.1" customHeight="1" x14ac:dyDescent="0.15">
      <c r="A84"/>
      <c r="B84"/>
      <c r="C84"/>
      <c r="D84"/>
      <c r="E84"/>
      <c r="F84"/>
      <c r="G84"/>
      <c r="H84"/>
      <c r="I84"/>
      <c r="J84"/>
      <c r="K84"/>
      <c r="L84"/>
      <c r="M84"/>
      <c r="N84"/>
      <c r="O84"/>
      <c r="P84"/>
      <c r="Q84"/>
      <c r="R84"/>
      <c r="S84"/>
      <c r="T84"/>
      <c r="U84"/>
      <c r="V84"/>
      <c r="W84"/>
      <c r="X84"/>
      <c r="Y84"/>
      <c r="Z84"/>
      <c r="AA84"/>
      <c r="AB84"/>
      <c r="AC84"/>
      <c r="AD84"/>
      <c r="AE84"/>
      <c r="AF84"/>
      <c r="AG84"/>
      <c r="AH84"/>
      <c r="AI84"/>
      <c r="AJ84"/>
      <c r="AK84"/>
      <c r="AL84"/>
      <c r="AM84"/>
      <c r="AN84"/>
      <c r="AO84"/>
      <c r="AP84"/>
      <c r="AQ84"/>
      <c r="AR84"/>
      <c r="AS84"/>
      <c r="AT84"/>
      <c r="AU84"/>
      <c r="AV84" s="15"/>
      <c r="AW84" s="15"/>
    </row>
    <row r="85" spans="1:50" ht="14.1" customHeight="1" x14ac:dyDescent="0.15">
      <c r="A85"/>
      <c r="B85"/>
      <c r="C85"/>
      <c r="D85"/>
      <c r="E85"/>
      <c r="F85"/>
      <c r="G85"/>
      <c r="H85"/>
      <c r="I85"/>
      <c r="J85"/>
      <c r="K85"/>
      <c r="L85"/>
      <c r="M85"/>
      <c r="N85"/>
      <c r="O85"/>
      <c r="P85"/>
      <c r="Q85"/>
      <c r="R85"/>
      <c r="S85"/>
      <c r="T85"/>
      <c r="U85"/>
      <c r="V85"/>
      <c r="W85"/>
      <c r="X85"/>
      <c r="Y85"/>
      <c r="Z85"/>
      <c r="AA85"/>
      <c r="AB85"/>
      <c r="AC85"/>
      <c r="AD85"/>
      <c r="AE85"/>
      <c r="AF85"/>
      <c r="AG85"/>
      <c r="AH85"/>
      <c r="AI85"/>
      <c r="AJ85"/>
      <c r="AK85"/>
      <c r="AL85"/>
      <c r="AM85"/>
      <c r="AN85"/>
      <c r="AO85"/>
      <c r="AP85"/>
      <c r="AQ85"/>
      <c r="AR85"/>
      <c r="AS85"/>
      <c r="AT85"/>
      <c r="AU85"/>
      <c r="AV85" s="15"/>
      <c r="AW85" s="15"/>
    </row>
    <row r="86" spans="1:50" ht="14.1" customHeight="1" x14ac:dyDescent="0.15">
      <c r="A86"/>
      <c r="B86"/>
      <c r="C86"/>
      <c r="D86"/>
      <c r="E86"/>
      <c r="F86"/>
      <c r="G86"/>
      <c r="H86"/>
      <c r="I86"/>
      <c r="J86"/>
      <c r="K86"/>
      <c r="L86"/>
      <c r="M86"/>
      <c r="N86"/>
      <c r="O86"/>
      <c r="P86"/>
      <c r="Q86"/>
      <c r="R86"/>
      <c r="S86"/>
      <c r="T86"/>
      <c r="U86"/>
      <c r="V86"/>
      <c r="W86"/>
      <c r="X86"/>
      <c r="Y86"/>
      <c r="Z86"/>
      <c r="AA86"/>
      <c r="AB86"/>
      <c r="AC86"/>
      <c r="AD86"/>
      <c r="AE86"/>
      <c r="AF86"/>
      <c r="AG86"/>
      <c r="AH86"/>
      <c r="AI86"/>
      <c r="AJ86"/>
      <c r="AK86"/>
      <c r="AL86"/>
      <c r="AM86"/>
      <c r="AN86"/>
      <c r="AO86"/>
      <c r="AP86"/>
      <c r="AQ86"/>
      <c r="AR86"/>
      <c r="AS86"/>
      <c r="AT86"/>
      <c r="AU86"/>
      <c r="AV86" s="15"/>
      <c r="AW86" s="15"/>
    </row>
    <row r="87" spans="1:50" ht="14.1" customHeight="1" x14ac:dyDescent="0.15">
      <c r="A87"/>
      <c r="B87"/>
      <c r="C87"/>
      <c r="D87"/>
      <c r="E87"/>
      <c r="F87"/>
      <c r="G87"/>
      <c r="H87"/>
      <c r="I87"/>
      <c r="J87"/>
      <c r="K87"/>
      <c r="L87"/>
      <c r="M87"/>
      <c r="N87"/>
      <c r="O87"/>
      <c r="P87"/>
      <c r="Q87"/>
      <c r="R87"/>
      <c r="S87"/>
      <c r="T87"/>
      <c r="U87"/>
      <c r="V87"/>
      <c r="W87"/>
      <c r="X87"/>
      <c r="Y87"/>
      <c r="Z87"/>
      <c r="AA87"/>
      <c r="AB87"/>
      <c r="AC87"/>
      <c r="AD87"/>
      <c r="AE87"/>
      <c r="AF87"/>
      <c r="AG87"/>
      <c r="AH87"/>
      <c r="AI87"/>
      <c r="AJ87"/>
      <c r="AK87"/>
      <c r="AL87"/>
      <c r="AM87"/>
      <c r="AN87"/>
      <c r="AO87"/>
      <c r="AP87"/>
      <c r="AQ87"/>
      <c r="AR87"/>
      <c r="AS87"/>
      <c r="AT87"/>
      <c r="AU87"/>
      <c r="AV87" s="15"/>
      <c r="AW87" s="15"/>
    </row>
    <row r="88" spans="1:50" ht="14.1" customHeight="1" x14ac:dyDescent="0.15">
      <c r="A88"/>
      <c r="B88"/>
      <c r="C88"/>
      <c r="D88"/>
      <c r="E88"/>
      <c r="F88"/>
      <c r="G88"/>
      <c r="H88"/>
      <c r="I88"/>
      <c r="J88"/>
      <c r="K88"/>
      <c r="L88"/>
      <c r="M88"/>
      <c r="N88"/>
      <c r="O88"/>
      <c r="P88"/>
      <c r="Q88"/>
      <c r="R88"/>
      <c r="S88"/>
      <c r="T88"/>
      <c r="U88"/>
      <c r="V88"/>
      <c r="W88"/>
      <c r="X88"/>
      <c r="Y88"/>
      <c r="Z88"/>
      <c r="AA88"/>
      <c r="AB88"/>
      <c r="AC88"/>
      <c r="AD88"/>
      <c r="AE88"/>
      <c r="AF88"/>
      <c r="AG88" s="15"/>
      <c r="AH88" s="15"/>
      <c r="AI88" s="15"/>
      <c r="AJ88" s="15"/>
      <c r="AK88" s="15"/>
      <c r="AL88" s="15"/>
      <c r="AM88" s="15"/>
      <c r="AN88" s="15"/>
      <c r="AO88" s="15"/>
      <c r="AP88" s="15"/>
      <c r="AQ88" s="15"/>
      <c r="AR88" s="15"/>
      <c r="AS88" s="15"/>
      <c r="AT88" s="15"/>
      <c r="AU88" s="15"/>
      <c r="AV88" s="15"/>
      <c r="AW88" s="15"/>
    </row>
    <row r="89" spans="1:50" ht="14.1" customHeight="1" x14ac:dyDescent="0.15">
      <c r="A89"/>
      <c r="B89"/>
      <c r="C89"/>
      <c r="D89"/>
      <c r="E89"/>
      <c r="F89"/>
      <c r="G89"/>
      <c r="H89"/>
      <c r="I89"/>
      <c r="J89"/>
      <c r="K89"/>
      <c r="L89"/>
      <c r="M89"/>
      <c r="N89"/>
      <c r="O89"/>
      <c r="P89"/>
      <c r="Q89"/>
      <c r="R89"/>
      <c r="S89"/>
      <c r="T89"/>
      <c r="U89"/>
      <c r="V89"/>
      <c r="W89"/>
      <c r="X89"/>
      <c r="Y89"/>
      <c r="Z89"/>
      <c r="AA89"/>
      <c r="AB89"/>
      <c r="AC89"/>
      <c r="AD89"/>
      <c r="AE89"/>
      <c r="AF89"/>
      <c r="AG89" s="15"/>
      <c r="AH89" s="15"/>
      <c r="AI89" s="15"/>
      <c r="AJ89" s="15"/>
      <c r="AK89" s="15"/>
      <c r="AL89" s="15"/>
      <c r="AM89" s="15"/>
      <c r="AN89" s="15"/>
      <c r="AO89" s="15"/>
      <c r="AP89" s="15"/>
      <c r="AQ89" s="15"/>
      <c r="AR89" s="15"/>
      <c r="AS89" s="15"/>
      <c r="AT89" s="15"/>
      <c r="AU89" s="15"/>
      <c r="AV89" s="15"/>
      <c r="AW89" s="15"/>
    </row>
    <row r="90" spans="1:50" ht="14.1" customHeight="1" x14ac:dyDescent="0.15">
      <c r="A90"/>
      <c r="B90"/>
      <c r="C90"/>
      <c r="D90"/>
      <c r="E90"/>
      <c r="F90"/>
      <c r="G90"/>
      <c r="H90"/>
      <c r="I90"/>
      <c r="J90"/>
      <c r="K90"/>
      <c r="L90"/>
      <c r="M90"/>
      <c r="N90"/>
      <c r="O90"/>
      <c r="P90"/>
      <c r="Q90"/>
      <c r="R90"/>
      <c r="S90"/>
      <c r="T90"/>
      <c r="U90"/>
      <c r="V90"/>
      <c r="W90"/>
      <c r="X90"/>
      <c r="Y90"/>
      <c r="Z90"/>
      <c r="AA90"/>
      <c r="AB90"/>
      <c r="AC90"/>
      <c r="AD90"/>
      <c r="AE90"/>
      <c r="AF90"/>
      <c r="AG90" s="15"/>
      <c r="AH90" s="15"/>
      <c r="AI90" s="15"/>
      <c r="AJ90" s="15"/>
      <c r="AK90" s="15"/>
      <c r="AL90" s="15"/>
      <c r="AM90" s="15"/>
      <c r="AN90" s="15"/>
      <c r="AO90" s="15"/>
      <c r="AP90" s="15"/>
      <c r="AQ90" s="15"/>
      <c r="AR90" s="15"/>
      <c r="AS90" s="15"/>
      <c r="AT90" s="15"/>
      <c r="AU90" s="15"/>
      <c r="AV90" s="15"/>
      <c r="AW90" s="15"/>
    </row>
    <row r="91" spans="1:50" ht="14.1" customHeight="1" x14ac:dyDescent="0.15">
      <c r="A91"/>
      <c r="B91"/>
      <c r="C91"/>
      <c r="D91"/>
      <c r="E91"/>
      <c r="F91"/>
      <c r="G91"/>
      <c r="H91"/>
      <c r="I91"/>
      <c r="J91"/>
      <c r="K91"/>
      <c r="L91"/>
      <c r="M91"/>
      <c r="N91"/>
      <c r="O91"/>
      <c r="P91"/>
      <c r="Q91"/>
      <c r="R91"/>
      <c r="S91"/>
      <c r="T91"/>
      <c r="U91"/>
      <c r="V91"/>
      <c r="W91"/>
      <c r="X91"/>
      <c r="Y91"/>
      <c r="Z91"/>
      <c r="AA91"/>
      <c r="AB91"/>
      <c r="AC91"/>
      <c r="AD91"/>
      <c r="AE91"/>
      <c r="AF91"/>
      <c r="AG91" s="15"/>
      <c r="AH91" s="15"/>
      <c r="AI91" s="15"/>
      <c r="AJ91" s="15"/>
      <c r="AK91" s="15"/>
      <c r="AL91" s="15"/>
      <c r="AM91" s="15"/>
      <c r="AN91" s="15"/>
      <c r="AO91" s="15"/>
      <c r="AP91" s="15"/>
      <c r="AQ91" s="15"/>
      <c r="AR91" s="15"/>
      <c r="AS91" s="15"/>
      <c r="AT91" s="15"/>
      <c r="AU91" s="15"/>
      <c r="AV91" s="15"/>
    </row>
    <row r="92" spans="1:50" ht="14.1" customHeight="1" x14ac:dyDescent="0.15">
      <c r="A92"/>
      <c r="B92"/>
      <c r="C92"/>
      <c r="D92"/>
      <c r="E92"/>
      <c r="F92"/>
      <c r="G92"/>
      <c r="H92"/>
      <c r="I92"/>
      <c r="J92"/>
      <c r="K92"/>
      <c r="L92"/>
      <c r="M92"/>
      <c r="N92"/>
      <c r="O92"/>
      <c r="P92"/>
      <c r="Q92"/>
      <c r="R92"/>
      <c r="S92"/>
      <c r="T92"/>
      <c r="U92"/>
      <c r="V92"/>
      <c r="W92"/>
      <c r="X92"/>
      <c r="Y92"/>
      <c r="Z92"/>
      <c r="AA92"/>
      <c r="AB92"/>
      <c r="AC92"/>
      <c r="AD92"/>
      <c r="AE92"/>
      <c r="AF92"/>
      <c r="AG92" s="15"/>
      <c r="AH92" s="15"/>
      <c r="AI92" s="15"/>
      <c r="AJ92" s="15"/>
      <c r="AK92" s="15"/>
      <c r="AL92" s="15"/>
      <c r="AM92" s="15"/>
      <c r="AN92" s="15"/>
      <c r="AO92" s="15"/>
      <c r="AP92" s="15"/>
      <c r="AQ92" s="15"/>
      <c r="AR92" s="15"/>
      <c r="AS92" s="15"/>
      <c r="AT92" s="15"/>
      <c r="AU92" s="15"/>
      <c r="AV92" s="15"/>
    </row>
    <row r="93" spans="1:50" ht="14.1" customHeight="1" x14ac:dyDescent="0.15">
      <c r="A93"/>
      <c r="B93"/>
      <c r="C93"/>
      <c r="D93"/>
      <c r="E93"/>
      <c r="F93"/>
      <c r="G93"/>
      <c r="H93"/>
      <c r="I93"/>
      <c r="J93"/>
      <c r="K93"/>
      <c r="L93"/>
      <c r="M93"/>
      <c r="N93"/>
      <c r="O93"/>
      <c r="P93"/>
      <c r="Q93"/>
      <c r="R93"/>
      <c r="S93"/>
      <c r="T93"/>
      <c r="U93"/>
      <c r="V93"/>
      <c r="W93"/>
      <c r="X93"/>
      <c r="Y93"/>
      <c r="Z93"/>
      <c r="AA93"/>
      <c r="AB93"/>
      <c r="AC93"/>
      <c r="AD93"/>
      <c r="AE93"/>
      <c r="AF93"/>
      <c r="AG93" s="15"/>
      <c r="AH93" s="15"/>
      <c r="AI93" s="15"/>
      <c r="AJ93" s="15"/>
      <c r="AK93" s="15"/>
      <c r="AL93" s="15"/>
      <c r="AM93" s="15"/>
      <c r="AN93" s="15"/>
      <c r="AO93" s="15"/>
      <c r="AP93" s="15"/>
      <c r="AQ93" s="15"/>
      <c r="AR93" s="15"/>
      <c r="AS93" s="15"/>
      <c r="AT93" s="15"/>
      <c r="AU93" s="15"/>
      <c r="AV93" s="15"/>
    </row>
    <row r="94" spans="1:50" ht="14.1" customHeight="1" x14ac:dyDescent="0.15">
      <c r="A94"/>
      <c r="B94"/>
      <c r="C94"/>
      <c r="D94"/>
      <c r="E94"/>
      <c r="F94"/>
      <c r="G94"/>
      <c r="H94"/>
      <c r="I94"/>
      <c r="J94"/>
      <c r="K94"/>
      <c r="L94"/>
      <c r="M94"/>
      <c r="N94"/>
      <c r="O94"/>
      <c r="P94"/>
      <c r="Q94"/>
      <c r="R94"/>
      <c r="S94"/>
      <c r="T94"/>
      <c r="U94"/>
      <c r="V94"/>
      <c r="W94"/>
      <c r="X94"/>
      <c r="Y94"/>
      <c r="Z94"/>
      <c r="AA94"/>
      <c r="AB94"/>
      <c r="AC94"/>
      <c r="AD94"/>
      <c r="AE94"/>
      <c r="AF94"/>
      <c r="AG94" s="15"/>
      <c r="AH94" s="15"/>
      <c r="AI94" s="15"/>
      <c r="AJ94" s="15"/>
      <c r="AK94" s="15"/>
      <c r="AL94" s="15"/>
      <c r="AM94" s="15"/>
      <c r="AN94" s="15"/>
      <c r="AO94" s="15"/>
      <c r="AP94" s="15"/>
      <c r="AQ94" s="15"/>
      <c r="AR94" s="15"/>
      <c r="AS94" s="15"/>
      <c r="AT94" s="15"/>
      <c r="AU94" s="15"/>
      <c r="AV94" s="15"/>
    </row>
    <row r="95" spans="1:50" ht="14.1" customHeight="1" x14ac:dyDescent="0.15">
      <c r="A95"/>
      <c r="B95"/>
      <c r="C95"/>
      <c r="D95"/>
      <c r="E95"/>
      <c r="F95"/>
      <c r="G95"/>
      <c r="H95"/>
      <c r="I95"/>
      <c r="J95"/>
      <c r="K95"/>
      <c r="L95"/>
      <c r="M95"/>
      <c r="N95"/>
      <c r="O95"/>
      <c r="P95"/>
      <c r="Q95"/>
      <c r="R95"/>
      <c r="S95"/>
      <c r="T95"/>
      <c r="U95"/>
      <c r="V95"/>
      <c r="W95"/>
      <c r="X9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row>
    <row r="96" spans="1:50" ht="14.1" customHeight="1" x14ac:dyDescent="0.15">
      <c r="A96"/>
      <c r="B96"/>
      <c r="C96"/>
      <c r="D96"/>
      <c r="E96"/>
      <c r="F96"/>
      <c r="G96"/>
      <c r="H96"/>
      <c r="I96"/>
      <c r="J96"/>
      <c r="K96"/>
      <c r="L96"/>
      <c r="M96"/>
      <c r="N96"/>
      <c r="O96"/>
      <c r="P96"/>
      <c r="Q96"/>
      <c r="R96"/>
      <c r="S96"/>
      <c r="T96"/>
      <c r="U96"/>
      <c r="V96"/>
      <c r="W96"/>
      <c r="X96"/>
      <c r="Y96" s="102"/>
      <c r="Z96" s="102"/>
      <c r="AA96" s="132"/>
      <c r="AB96" s="15"/>
      <c r="AC96" s="15"/>
      <c r="AD96" s="15"/>
      <c r="AE96" s="15"/>
      <c r="AF96" s="15"/>
      <c r="AG96" s="15"/>
      <c r="AH96" s="15"/>
      <c r="AI96" s="15"/>
      <c r="AJ96" s="15"/>
      <c r="AK96" s="15"/>
      <c r="AL96" s="15"/>
      <c r="AM96" s="15"/>
      <c r="AN96" s="15"/>
      <c r="AO96" s="15"/>
      <c r="AP96" s="15"/>
      <c r="AQ96" s="15"/>
      <c r="AR96" s="15"/>
      <c r="AS96" s="15"/>
      <c r="AT96" s="15"/>
      <c r="AU96" s="15"/>
      <c r="AV96" s="15"/>
    </row>
    <row r="97" spans="1:48" ht="14.1" customHeight="1" x14ac:dyDescent="0.15">
      <c r="A97"/>
      <c r="B97"/>
      <c r="C97"/>
      <c r="D97"/>
      <c r="E97"/>
      <c r="F97"/>
      <c r="G97"/>
      <c r="H97"/>
      <c r="I97"/>
      <c r="J97"/>
      <c r="K97"/>
      <c r="L97"/>
      <c r="M97"/>
      <c r="N97"/>
      <c r="O97"/>
      <c r="P97"/>
      <c r="Q97"/>
      <c r="R97"/>
      <c r="S97"/>
      <c r="T97"/>
      <c r="U97"/>
      <c r="V97"/>
      <c r="W97"/>
      <c r="X97"/>
      <c r="Y97" s="102"/>
      <c r="Z97" s="102"/>
      <c r="AA97" s="132"/>
      <c r="AB97" s="15"/>
      <c r="AC97" s="15"/>
      <c r="AD97" s="15"/>
      <c r="AE97" s="15"/>
      <c r="AF97" s="15"/>
      <c r="AG97" s="15"/>
      <c r="AH97" s="15"/>
      <c r="AI97" s="15"/>
      <c r="AJ97" s="15"/>
      <c r="AK97" s="15"/>
      <c r="AL97" s="15"/>
      <c r="AM97" s="15"/>
      <c r="AN97" s="15"/>
      <c r="AO97" s="15"/>
      <c r="AP97" s="15"/>
      <c r="AQ97" s="15"/>
      <c r="AR97" s="15"/>
      <c r="AS97" s="15"/>
      <c r="AT97" s="15"/>
      <c r="AU97" s="15"/>
      <c r="AV97" s="15"/>
    </row>
    <row r="98" spans="1:48" ht="14.1" customHeight="1" x14ac:dyDescent="0.15">
      <c r="A98"/>
      <c r="B98"/>
      <c r="C98"/>
      <c r="D98"/>
      <c r="E98"/>
      <c r="F98"/>
      <c r="G98"/>
      <c r="H98"/>
      <c r="I98"/>
      <c r="J98"/>
      <c r="K98"/>
      <c r="L98"/>
      <c r="M98"/>
      <c r="N98"/>
      <c r="O98"/>
      <c r="P98"/>
      <c r="Q98"/>
      <c r="R98"/>
      <c r="S98"/>
      <c r="T98"/>
      <c r="U98"/>
      <c r="V98"/>
      <c r="W98"/>
      <c r="X98"/>
      <c r="Y98" s="102"/>
      <c r="Z98" s="102"/>
      <c r="AA98" s="132"/>
      <c r="AB98" s="15"/>
      <c r="AC98" s="15"/>
      <c r="AD98" s="15"/>
      <c r="AE98" s="15"/>
      <c r="AF98" s="15"/>
      <c r="AG98" s="15"/>
      <c r="AH98" s="15"/>
      <c r="AI98" s="15"/>
      <c r="AJ98" s="15"/>
      <c r="AK98" s="15"/>
      <c r="AL98" s="15"/>
      <c r="AM98" s="15"/>
      <c r="AN98" s="15"/>
      <c r="AO98" s="15"/>
      <c r="AP98" s="15"/>
      <c r="AQ98" s="15"/>
      <c r="AR98" s="15"/>
      <c r="AS98" s="15"/>
      <c r="AT98" s="15"/>
      <c r="AU98" s="15"/>
      <c r="AV98" s="15"/>
    </row>
    <row r="99" spans="1:48" ht="14.1" customHeight="1" x14ac:dyDescent="0.15">
      <c r="A99"/>
      <c r="B99"/>
      <c r="C99"/>
      <c r="D99"/>
      <c r="E99"/>
      <c r="F99"/>
      <c r="G99"/>
      <c r="H99"/>
      <c r="I99"/>
      <c r="J99"/>
      <c r="K99"/>
      <c r="L99"/>
      <c r="M99"/>
      <c r="N99"/>
      <c r="O99"/>
      <c r="P99"/>
      <c r="Q99"/>
      <c r="R99"/>
      <c r="S99"/>
      <c r="T99"/>
      <c r="U99"/>
      <c r="V99"/>
      <c r="W99"/>
      <c r="X99"/>
      <c r="Y99" s="102"/>
      <c r="Z99" s="102"/>
      <c r="AA99" s="132"/>
      <c r="AB99" s="15"/>
      <c r="AC99" s="15"/>
      <c r="AD99" s="15"/>
      <c r="AE99" s="15"/>
      <c r="AF99" s="15"/>
      <c r="AG99" s="15"/>
      <c r="AH99" s="15"/>
      <c r="AI99" s="15"/>
      <c r="AJ99" s="15"/>
      <c r="AK99" s="15"/>
      <c r="AL99" s="15"/>
      <c r="AM99" s="15"/>
      <c r="AN99" s="15"/>
      <c r="AO99" s="15"/>
      <c r="AP99" s="15"/>
      <c r="AQ99" s="15"/>
      <c r="AR99" s="15"/>
      <c r="AS99" s="15"/>
      <c r="AT99" s="15"/>
      <c r="AU99" s="15"/>
      <c r="AV99" s="15"/>
    </row>
    <row r="100" spans="1:48" ht="14.1" customHeight="1" x14ac:dyDescent="0.15">
      <c r="A100"/>
      <c r="B100"/>
      <c r="C100"/>
      <c r="D100"/>
      <c r="E100"/>
      <c r="F100"/>
      <c r="G100"/>
      <c r="H100"/>
      <c r="I100"/>
      <c r="J100"/>
      <c r="K100"/>
      <c r="L100"/>
      <c r="M100"/>
      <c r="N100"/>
      <c r="O100"/>
      <c r="P100"/>
      <c r="Q100"/>
      <c r="R100"/>
      <c r="S100"/>
      <c r="T100"/>
      <c r="U100"/>
      <c r="V100"/>
      <c r="W100"/>
      <c r="X100"/>
      <c r="Y100" s="102"/>
      <c r="Z100" s="102"/>
      <c r="AA100" s="132"/>
      <c r="AB100" s="15"/>
      <c r="AC100" s="15"/>
      <c r="AD100" s="15"/>
      <c r="AE100" s="15"/>
      <c r="AF100" s="15"/>
      <c r="AG100" s="15"/>
      <c r="AH100" s="15"/>
      <c r="AI100" s="15"/>
      <c r="AJ100" s="15"/>
      <c r="AK100" s="15"/>
      <c r="AL100" s="15"/>
      <c r="AM100" s="15"/>
      <c r="AN100" s="15"/>
      <c r="AO100" s="15"/>
      <c r="AP100" s="15"/>
      <c r="AQ100" s="15"/>
      <c r="AR100" s="15"/>
      <c r="AS100" s="15"/>
      <c r="AT100" s="15"/>
      <c r="AU100" s="15"/>
      <c r="AV100" s="15"/>
    </row>
    <row r="101" spans="1:48" ht="14.1" customHeight="1" x14ac:dyDescent="0.15">
      <c r="A101"/>
      <c r="B101"/>
      <c r="C101"/>
      <c r="D101"/>
      <c r="E101"/>
      <c r="F101"/>
      <c r="G101"/>
      <c r="H101"/>
      <c r="I101"/>
      <c r="J101"/>
      <c r="K101"/>
      <c r="L101"/>
      <c r="M101"/>
      <c r="N101"/>
      <c r="O101"/>
      <c r="P101"/>
      <c r="Q101"/>
      <c r="R101"/>
      <c r="S101"/>
      <c r="T101"/>
      <c r="U101"/>
      <c r="V101"/>
      <c r="W101"/>
      <c r="X101"/>
      <c r="Y101" s="102"/>
      <c r="Z101" s="102"/>
      <c r="AA101" s="132"/>
      <c r="AB101" s="15"/>
      <c r="AC101" s="15"/>
      <c r="AD101" s="15"/>
      <c r="AE101" s="15"/>
      <c r="AF101" s="15"/>
      <c r="AG101" s="15"/>
      <c r="AH101" s="15"/>
      <c r="AI101" s="15"/>
      <c r="AJ101" s="15"/>
      <c r="AK101" s="15"/>
      <c r="AL101" s="15"/>
      <c r="AM101" s="15"/>
      <c r="AN101" s="15"/>
      <c r="AO101" s="15"/>
      <c r="AP101" s="15"/>
      <c r="AQ101" s="15"/>
      <c r="AR101" s="15"/>
      <c r="AS101" s="15"/>
      <c r="AT101" s="15"/>
      <c r="AU101" s="15"/>
      <c r="AV101" s="15"/>
    </row>
    <row r="102" spans="1:48" ht="14.1" customHeight="1" x14ac:dyDescent="0.15">
      <c r="A102"/>
      <c r="B102"/>
      <c r="C102"/>
      <c r="D102"/>
      <c r="E102"/>
      <c r="F102"/>
      <c r="G102"/>
      <c r="H102"/>
      <c r="I102"/>
      <c r="J102"/>
      <c r="K102"/>
      <c r="L102"/>
      <c r="M102"/>
      <c r="N102"/>
      <c r="O102"/>
      <c r="P102"/>
      <c r="Q102"/>
      <c r="R102"/>
      <c r="S102"/>
      <c r="T102"/>
      <c r="U102"/>
      <c r="V102"/>
      <c r="W102"/>
      <c r="X102"/>
      <c r="Y102" s="102"/>
      <c r="Z102" s="102"/>
      <c r="AA102" s="132"/>
      <c r="AB102" s="15"/>
      <c r="AC102" s="15"/>
      <c r="AD102" s="15"/>
      <c r="AE102" s="15"/>
      <c r="AF102" s="15"/>
      <c r="AG102" s="15"/>
      <c r="AH102" s="15"/>
      <c r="AI102" s="15"/>
      <c r="AJ102" s="15"/>
      <c r="AK102" s="15"/>
      <c r="AL102" s="15"/>
      <c r="AM102" s="15"/>
      <c r="AN102" s="15"/>
      <c r="AO102" s="15"/>
      <c r="AP102" s="15"/>
      <c r="AQ102" s="15"/>
      <c r="AR102" s="15"/>
      <c r="AS102" s="15"/>
      <c r="AT102" s="15"/>
      <c r="AU102" s="15"/>
      <c r="AV102" s="15"/>
    </row>
    <row r="103" spans="1:48" ht="14.1" customHeight="1" x14ac:dyDescent="0.15">
      <c r="A103"/>
      <c r="B103"/>
      <c r="C103"/>
      <c r="D103"/>
      <c r="E103"/>
      <c r="F103"/>
      <c r="G103"/>
      <c r="H103"/>
      <c r="I103"/>
      <c r="J103"/>
      <c r="K103"/>
      <c r="L103"/>
      <c r="M103"/>
      <c r="N103"/>
      <c r="O103"/>
      <c r="P103"/>
      <c r="Q103"/>
      <c r="R103"/>
      <c r="S103"/>
      <c r="T103"/>
      <c r="U103"/>
      <c r="V103"/>
      <c r="W103"/>
      <c r="X103"/>
      <c r="Y103" s="102"/>
      <c r="Z103" s="102"/>
      <c r="AA103" s="132"/>
      <c r="AB103" s="15"/>
      <c r="AC103" s="15"/>
      <c r="AD103" s="15"/>
      <c r="AE103" s="15"/>
      <c r="AF103" s="15"/>
      <c r="AG103" s="15"/>
      <c r="AH103" s="15"/>
      <c r="AI103" s="15"/>
      <c r="AJ103" s="15"/>
      <c r="AK103" s="15"/>
      <c r="AL103" s="15"/>
      <c r="AM103" s="15"/>
      <c r="AN103" s="15"/>
      <c r="AO103" s="15"/>
      <c r="AP103" s="15"/>
      <c r="AQ103" s="15"/>
      <c r="AR103" s="15"/>
      <c r="AS103" s="15"/>
      <c r="AT103" s="15"/>
      <c r="AU103" s="15"/>
      <c r="AV103" s="15"/>
    </row>
    <row r="104" spans="1:48" ht="14.1" customHeight="1" x14ac:dyDescent="0.15">
      <c r="A104"/>
      <c r="B104"/>
      <c r="C104"/>
      <c r="D104"/>
      <c r="E104"/>
      <c r="F104"/>
      <c r="G104"/>
      <c r="H104"/>
      <c r="I104"/>
      <c r="J104"/>
      <c r="K104"/>
      <c r="L104"/>
      <c r="M104"/>
      <c r="N104"/>
      <c r="O104"/>
      <c r="P104"/>
      <c r="Q104"/>
      <c r="R104"/>
      <c r="S104"/>
      <c r="T104"/>
      <c r="U104"/>
      <c r="V104"/>
      <c r="W104"/>
      <c r="X104"/>
      <c r="Y104" s="102"/>
      <c r="Z104" s="102"/>
      <c r="AA104" s="132"/>
      <c r="AB104" s="15"/>
      <c r="AC104" s="15"/>
      <c r="AD104" s="15"/>
      <c r="AE104" s="15"/>
      <c r="AF104" s="15"/>
      <c r="AG104" s="15"/>
      <c r="AH104" s="15"/>
      <c r="AI104" s="15"/>
      <c r="AJ104" s="15"/>
      <c r="AK104" s="15"/>
      <c r="AL104" s="15"/>
      <c r="AM104" s="15"/>
      <c r="AN104" s="15"/>
      <c r="AO104" s="15"/>
      <c r="AP104" s="15"/>
      <c r="AQ104" s="15"/>
      <c r="AR104" s="15"/>
      <c r="AS104" s="15"/>
      <c r="AT104" s="15"/>
      <c r="AU104" s="15"/>
      <c r="AV104" s="15"/>
    </row>
    <row r="105" spans="1:48" ht="14.1" customHeight="1" x14ac:dyDescent="0.15">
      <c r="A105"/>
      <c r="B105"/>
      <c r="C105"/>
      <c r="D105"/>
      <c r="E105"/>
      <c r="F105"/>
      <c r="G105"/>
      <c r="H105"/>
      <c r="I105"/>
      <c r="J105"/>
      <c r="K105"/>
      <c r="L105"/>
      <c r="M105"/>
      <c r="N105"/>
      <c r="O105"/>
      <c r="P105"/>
      <c r="Q105"/>
      <c r="R105"/>
      <c r="S105"/>
      <c r="T105"/>
      <c r="U105"/>
      <c r="V105"/>
      <c r="W105"/>
      <c r="X105"/>
      <c r="Y105" s="102"/>
      <c r="Z105" s="102"/>
      <c r="AA105" s="132"/>
      <c r="AB105" s="15"/>
      <c r="AC105" s="15"/>
      <c r="AD105" s="15"/>
      <c r="AE105" s="15"/>
      <c r="AF105" s="15"/>
      <c r="AG105" s="15"/>
      <c r="AH105" s="15"/>
      <c r="AI105" s="15"/>
      <c r="AJ105" s="15"/>
      <c r="AK105" s="15"/>
      <c r="AL105" s="15"/>
      <c r="AM105" s="15"/>
      <c r="AN105" s="15"/>
      <c r="AO105" s="15"/>
      <c r="AP105" s="15"/>
      <c r="AQ105" s="15"/>
      <c r="AR105" s="15"/>
      <c r="AS105" s="15"/>
      <c r="AT105" s="15"/>
      <c r="AU105" s="15"/>
      <c r="AV105" s="15"/>
    </row>
    <row r="106" spans="1:48" ht="14.1" customHeight="1" x14ac:dyDescent="0.15">
      <c r="A106"/>
      <c r="B106"/>
      <c r="C106"/>
      <c r="D106"/>
      <c r="E106"/>
      <c r="F106"/>
      <c r="G106"/>
      <c r="H106"/>
      <c r="I106"/>
      <c r="J106"/>
      <c r="K106"/>
      <c r="L106"/>
      <c r="M106"/>
      <c r="N106"/>
      <c r="O106"/>
      <c r="P106"/>
      <c r="Q106"/>
      <c r="R106"/>
      <c r="S106"/>
      <c r="T106"/>
      <c r="U106"/>
      <c r="V106"/>
      <c r="W106"/>
      <c r="X106"/>
      <c r="Y106" s="102"/>
      <c r="Z106" s="102"/>
      <c r="AA106" s="132"/>
      <c r="AB106" s="15"/>
      <c r="AC106" s="15"/>
      <c r="AD106" s="15"/>
      <c r="AE106" s="15"/>
      <c r="AF106" s="15"/>
      <c r="AG106" s="15"/>
      <c r="AH106" s="15"/>
      <c r="AI106" s="15"/>
      <c r="AJ106" s="15"/>
      <c r="AK106" s="15"/>
      <c r="AL106" s="15"/>
      <c r="AM106" s="15"/>
      <c r="AN106" s="15"/>
      <c r="AO106" s="15"/>
      <c r="AP106" s="15"/>
      <c r="AQ106" s="15"/>
      <c r="AR106" s="15"/>
      <c r="AS106" s="15"/>
      <c r="AT106" s="15"/>
      <c r="AU106" s="15"/>
      <c r="AV106" s="15"/>
    </row>
    <row r="107" spans="1:48" ht="14.1" customHeight="1" x14ac:dyDescent="0.15">
      <c r="A107"/>
      <c r="B107"/>
      <c r="C107"/>
      <c r="D107"/>
      <c r="E107"/>
      <c r="F107"/>
      <c r="G107"/>
      <c r="H107"/>
      <c r="I107"/>
      <c r="J107"/>
      <c r="K107"/>
      <c r="L107"/>
      <c r="M107"/>
      <c r="N107"/>
      <c r="O107"/>
      <c r="P107"/>
      <c r="Q107"/>
      <c r="R107"/>
      <c r="S107"/>
      <c r="T107"/>
      <c r="U107"/>
      <c r="V107"/>
      <c r="W107"/>
      <c r="X107"/>
      <c r="Y107" s="102"/>
      <c r="Z107" s="102"/>
      <c r="AA107" s="132"/>
      <c r="AB107" s="15"/>
      <c r="AC107" s="15"/>
      <c r="AD107" s="15"/>
      <c r="AE107" s="15"/>
      <c r="AF107" s="15"/>
      <c r="AG107" s="15"/>
      <c r="AH107" s="15"/>
      <c r="AI107" s="15"/>
      <c r="AJ107" s="15"/>
      <c r="AK107" s="15"/>
      <c r="AL107" s="15"/>
      <c r="AM107" s="15"/>
      <c r="AN107" s="15"/>
      <c r="AO107" s="15"/>
      <c r="AP107" s="15"/>
      <c r="AQ107" s="15"/>
      <c r="AR107" s="15"/>
      <c r="AS107" s="15"/>
      <c r="AT107" s="15"/>
      <c r="AU107" s="15"/>
      <c r="AV107" s="15"/>
    </row>
    <row r="108" spans="1:48" ht="14.1" customHeight="1" x14ac:dyDescent="0.15">
      <c r="A108"/>
      <c r="B108"/>
      <c r="C108"/>
      <c r="D108"/>
      <c r="E108"/>
      <c r="F108"/>
      <c r="G108"/>
      <c r="H108"/>
      <c r="I108"/>
      <c r="J108"/>
      <c r="K108"/>
      <c r="L108"/>
      <c r="M108"/>
      <c r="N108"/>
      <c r="O108"/>
      <c r="P108"/>
      <c r="Q108"/>
      <c r="R108"/>
      <c r="S108"/>
      <c r="T108"/>
      <c r="U108"/>
      <c r="V108"/>
      <c r="W108"/>
      <c r="X108"/>
      <c r="Y108" s="102"/>
      <c r="Z108" s="102"/>
      <c r="AA108" s="132"/>
      <c r="AB108" s="15"/>
      <c r="AC108" s="15"/>
      <c r="AD108" s="15"/>
      <c r="AE108" s="15"/>
      <c r="AF108" s="15"/>
      <c r="AG108" s="15"/>
      <c r="AH108" s="15"/>
      <c r="AI108" s="15"/>
      <c r="AJ108" s="15"/>
      <c r="AK108" s="15"/>
      <c r="AL108" s="15"/>
      <c r="AM108" s="15"/>
      <c r="AN108" s="15"/>
      <c r="AO108" s="15"/>
      <c r="AP108" s="15"/>
      <c r="AQ108" s="15"/>
      <c r="AR108" s="15"/>
      <c r="AS108" s="15"/>
      <c r="AT108" s="15"/>
      <c r="AU108" s="15"/>
      <c r="AV108" s="15"/>
    </row>
    <row r="109" spans="1:48" ht="14.1" customHeight="1" x14ac:dyDescent="0.15">
      <c r="A109"/>
      <c r="B109"/>
      <c r="C109"/>
      <c r="D109"/>
      <c r="E109"/>
      <c r="F109"/>
      <c r="G109"/>
      <c r="H109"/>
      <c r="I109"/>
      <c r="J109"/>
      <c r="K109"/>
      <c r="L109"/>
      <c r="M109"/>
      <c r="N109"/>
      <c r="O109"/>
      <c r="P109"/>
      <c r="Q109"/>
      <c r="R109"/>
      <c r="S109"/>
      <c r="T109"/>
      <c r="U109"/>
      <c r="V109"/>
      <c r="W109"/>
      <c r="X109"/>
      <c r="Y109" s="102"/>
      <c r="Z109" s="102"/>
      <c r="AA109" s="132"/>
      <c r="AB109" s="15"/>
      <c r="AC109" s="15"/>
      <c r="AD109" s="15"/>
      <c r="AE109" s="15"/>
      <c r="AF109" s="15"/>
      <c r="AG109" s="15"/>
      <c r="AH109" s="15"/>
      <c r="AI109" s="15"/>
      <c r="AJ109" s="15"/>
      <c r="AK109" s="15"/>
      <c r="AL109" s="15"/>
      <c r="AM109" s="15"/>
      <c r="AN109" s="15"/>
      <c r="AO109" s="15"/>
      <c r="AP109" s="15"/>
      <c r="AQ109" s="15"/>
      <c r="AR109" s="15"/>
      <c r="AS109" s="15"/>
      <c r="AT109" s="15"/>
      <c r="AU109" s="15"/>
      <c r="AV109" s="15"/>
    </row>
    <row r="110" spans="1:48" ht="14.1" customHeight="1" x14ac:dyDescent="0.15">
      <c r="A110"/>
      <c r="B110"/>
      <c r="C110"/>
      <c r="D110"/>
      <c r="E110"/>
      <c r="F110"/>
      <c r="G110"/>
      <c r="H110"/>
      <c r="I110"/>
      <c r="J110"/>
      <c r="K110"/>
      <c r="L110"/>
      <c r="M110"/>
      <c r="N110"/>
      <c r="O110"/>
      <c r="P110"/>
      <c r="Q110"/>
      <c r="R110"/>
      <c r="S110"/>
      <c r="T110"/>
      <c r="U110"/>
      <c r="V110"/>
      <c r="W110"/>
      <c r="X110"/>
      <c r="Y110" s="102"/>
      <c r="Z110" s="102"/>
      <c r="AA110" s="132"/>
      <c r="AB110" s="15"/>
      <c r="AC110" s="15"/>
      <c r="AD110" s="15"/>
      <c r="AE110" s="15"/>
      <c r="AF110" s="15"/>
      <c r="AG110" s="15"/>
      <c r="AH110" s="15"/>
      <c r="AI110" s="15"/>
      <c r="AJ110" s="15"/>
      <c r="AK110" s="15"/>
      <c r="AL110" s="15"/>
      <c r="AM110" s="15"/>
      <c r="AN110" s="15"/>
      <c r="AO110" s="15"/>
      <c r="AP110" s="15"/>
      <c r="AQ110" s="15"/>
      <c r="AR110" s="15"/>
      <c r="AS110" s="15"/>
      <c r="AT110" s="15"/>
      <c r="AU110" s="15"/>
      <c r="AV110" s="15"/>
    </row>
    <row r="111" spans="1:48" ht="14.1" customHeight="1" x14ac:dyDescent="0.15">
      <c r="A111"/>
      <c r="B111"/>
      <c r="C111"/>
      <c r="D111"/>
      <c r="E111"/>
      <c r="F111"/>
      <c r="G111"/>
      <c r="H111"/>
      <c r="I111"/>
      <c r="J111"/>
      <c r="K111"/>
      <c r="L111"/>
      <c r="M111"/>
      <c r="N111"/>
      <c r="O111"/>
      <c r="P111"/>
      <c r="Q111"/>
      <c r="R111"/>
      <c r="S111"/>
      <c r="T111"/>
      <c r="U111"/>
      <c r="V111"/>
      <c r="W111"/>
      <c r="X111"/>
      <c r="Y111" s="102"/>
      <c r="Z111" s="102"/>
      <c r="AA111" s="132"/>
      <c r="AB111" s="15"/>
      <c r="AC111" s="15"/>
      <c r="AD111" s="15"/>
      <c r="AE111" s="15"/>
      <c r="AF111" s="15"/>
      <c r="AG111" s="15"/>
      <c r="AH111" s="15"/>
      <c r="AI111" s="15"/>
      <c r="AJ111" s="15"/>
      <c r="AK111" s="15"/>
      <c r="AL111" s="15"/>
      <c r="AM111" s="15"/>
      <c r="AN111" s="15"/>
      <c r="AO111" s="15"/>
      <c r="AP111" s="15"/>
      <c r="AQ111" s="15"/>
      <c r="AR111" s="15"/>
      <c r="AS111" s="15"/>
      <c r="AT111" s="15"/>
      <c r="AU111" s="15"/>
      <c r="AV111" s="15"/>
    </row>
    <row r="112" spans="1:48" ht="14.1" customHeight="1" x14ac:dyDescent="0.15">
      <c r="A112"/>
      <c r="B112"/>
      <c r="C112"/>
      <c r="D112"/>
      <c r="E112"/>
      <c r="F112"/>
      <c r="G112"/>
      <c r="H112"/>
      <c r="I112"/>
      <c r="J112"/>
      <c r="K112"/>
      <c r="L112"/>
      <c r="M112"/>
      <c r="N112"/>
      <c r="O112"/>
      <c r="P112"/>
      <c r="Q112"/>
      <c r="R112"/>
      <c r="S112"/>
      <c r="T112"/>
      <c r="U112"/>
      <c r="V112"/>
      <c r="W112"/>
      <c r="X112"/>
      <c r="Y112" s="102"/>
      <c r="Z112" s="102"/>
      <c r="AA112" s="132"/>
      <c r="AB112" s="15"/>
      <c r="AC112" s="15"/>
      <c r="AD112" s="15"/>
      <c r="AE112" s="15"/>
      <c r="AF112" s="15"/>
      <c r="AG112" s="15"/>
      <c r="AH112" s="15"/>
      <c r="AI112" s="15"/>
      <c r="AJ112" s="15"/>
      <c r="AK112" s="15"/>
      <c r="AL112" s="15"/>
      <c r="AM112" s="15"/>
      <c r="AN112" s="15"/>
      <c r="AO112" s="15"/>
      <c r="AP112" s="15"/>
      <c r="AQ112" s="15"/>
      <c r="AR112" s="15"/>
      <c r="AS112" s="15"/>
      <c r="AT112" s="15"/>
      <c r="AU112" s="15"/>
      <c r="AV112" s="15"/>
    </row>
    <row r="113" spans="1:48" ht="14.1" customHeight="1" x14ac:dyDescent="0.15">
      <c r="A113"/>
      <c r="B113"/>
      <c r="C113"/>
      <c r="D113"/>
      <c r="E113"/>
      <c r="F113"/>
      <c r="G113"/>
      <c r="H113"/>
      <c r="I113"/>
      <c r="J113"/>
      <c r="K113"/>
      <c r="L113"/>
      <c r="M113"/>
      <c r="N113"/>
      <c r="O113"/>
      <c r="P113"/>
      <c r="Q113"/>
      <c r="R113"/>
      <c r="S113"/>
      <c r="T113"/>
      <c r="U113"/>
      <c r="V113"/>
      <c r="W113"/>
      <c r="X113"/>
      <c r="Y113" s="102"/>
      <c r="Z113" s="102"/>
      <c r="AA113" s="132"/>
      <c r="AB113" s="15"/>
      <c r="AC113" s="15"/>
      <c r="AD113" s="15"/>
      <c r="AE113" s="15"/>
      <c r="AF113" s="15"/>
      <c r="AG113" s="15"/>
      <c r="AH113" s="15"/>
      <c r="AI113" s="15"/>
      <c r="AJ113" s="15"/>
      <c r="AK113" s="15"/>
      <c r="AL113" s="15"/>
      <c r="AM113" s="15"/>
      <c r="AN113" s="15"/>
      <c r="AO113" s="15"/>
      <c r="AP113" s="15"/>
      <c r="AQ113" s="15"/>
      <c r="AR113" s="15"/>
      <c r="AS113" s="15"/>
      <c r="AT113" s="15"/>
      <c r="AU113" s="15"/>
      <c r="AV113" s="15"/>
    </row>
    <row r="114" spans="1:48" ht="14.1" customHeight="1" x14ac:dyDescent="0.15">
      <c r="A114"/>
      <c r="B114"/>
      <c r="C114"/>
      <c r="D114"/>
      <c r="E114"/>
      <c r="F114"/>
      <c r="G114"/>
      <c r="H114"/>
      <c r="I114"/>
      <c r="J114"/>
      <c r="K114"/>
      <c r="L114"/>
      <c r="M114"/>
      <c r="N114"/>
      <c r="O114"/>
      <c r="P114"/>
      <c r="Q114"/>
      <c r="R114"/>
      <c r="S114"/>
      <c r="T114"/>
      <c r="U114"/>
      <c r="V114"/>
      <c r="W114"/>
      <c r="X114"/>
      <c r="Y114" s="102"/>
      <c r="Z114" s="102"/>
      <c r="AA114" s="132"/>
      <c r="AB114" s="15"/>
      <c r="AC114" s="15"/>
      <c r="AD114" s="15"/>
      <c r="AE114" s="15"/>
      <c r="AF114" s="15"/>
      <c r="AG114" s="15"/>
      <c r="AH114" s="15"/>
      <c r="AI114" s="15"/>
      <c r="AJ114" s="15"/>
      <c r="AK114" s="15"/>
      <c r="AL114" s="15"/>
      <c r="AM114" s="15"/>
      <c r="AN114" s="15"/>
      <c r="AO114" s="15"/>
      <c r="AP114" s="15"/>
      <c r="AQ114" s="15"/>
      <c r="AR114" s="15"/>
      <c r="AS114" s="15"/>
      <c r="AT114" s="15"/>
      <c r="AU114" s="15"/>
      <c r="AV114" s="15"/>
    </row>
    <row r="115" spans="1:48" ht="14.1" customHeight="1" x14ac:dyDescent="0.15">
      <c r="A115"/>
      <c r="B115"/>
      <c r="C115"/>
      <c r="D115"/>
      <c r="E115"/>
      <c r="F115"/>
      <c r="G115"/>
      <c r="H115"/>
      <c r="I115"/>
      <c r="J115"/>
      <c r="K115"/>
      <c r="L115"/>
      <c r="M115"/>
      <c r="N115"/>
      <c r="O115"/>
      <c r="P115"/>
      <c r="Q115"/>
      <c r="R115"/>
      <c r="S115"/>
      <c r="T115"/>
      <c r="U115"/>
      <c r="V115"/>
      <c r="W115"/>
      <c r="X115"/>
      <c r="Y115" s="102"/>
      <c r="Z115" s="102"/>
      <c r="AA115" s="132"/>
    </row>
    <row r="116" spans="1:48" ht="14.1" customHeight="1" x14ac:dyDescent="0.15">
      <c r="A116"/>
      <c r="B116"/>
      <c r="C116"/>
      <c r="D116"/>
      <c r="E116"/>
      <c r="F116"/>
      <c r="G116"/>
      <c r="H116"/>
      <c r="I116"/>
      <c r="J116"/>
      <c r="K116"/>
      <c r="L116"/>
      <c r="M116"/>
      <c r="N116"/>
      <c r="O116"/>
      <c r="P116"/>
      <c r="Q116"/>
      <c r="R116"/>
      <c r="S116"/>
      <c r="T116"/>
      <c r="U116"/>
      <c r="V116"/>
      <c r="W116"/>
      <c r="X116"/>
      <c r="Y116" s="102"/>
      <c r="Z116" s="102"/>
      <c r="AA116" s="132"/>
    </row>
    <row r="117" spans="1:48" ht="14.1" customHeight="1" x14ac:dyDescent="0.15">
      <c r="A117"/>
      <c r="B117"/>
      <c r="C117"/>
      <c r="D117"/>
      <c r="E117"/>
      <c r="F117"/>
      <c r="G117"/>
      <c r="H117"/>
      <c r="I117"/>
      <c r="J117"/>
      <c r="K117"/>
      <c r="L117"/>
      <c r="M117"/>
      <c r="N117"/>
      <c r="O117"/>
      <c r="P117"/>
      <c r="Q117"/>
      <c r="R117"/>
      <c r="S117"/>
      <c r="T117"/>
      <c r="U117"/>
      <c r="V117"/>
      <c r="W117"/>
      <c r="X117"/>
      <c r="Y117" s="102"/>
      <c r="Z117" s="102"/>
      <c r="AA117" s="132"/>
    </row>
    <row r="118" spans="1:48" ht="14.1" customHeight="1" x14ac:dyDescent="0.15">
      <c r="A118"/>
      <c r="B118"/>
      <c r="C118"/>
      <c r="D118"/>
      <c r="E118"/>
      <c r="F118"/>
      <c r="G118"/>
      <c r="H118"/>
      <c r="I118"/>
      <c r="J118"/>
      <c r="K118"/>
      <c r="L118"/>
      <c r="M118"/>
      <c r="N118"/>
      <c r="O118"/>
      <c r="P118"/>
      <c r="Q118"/>
      <c r="R118"/>
      <c r="S118"/>
      <c r="T118"/>
      <c r="U118"/>
      <c r="V118"/>
      <c r="W118"/>
      <c r="X118"/>
      <c r="Y118" s="102"/>
      <c r="Z118" s="102"/>
      <c r="AA118" s="132"/>
    </row>
    <row r="119" spans="1:48" ht="14.1" customHeight="1" x14ac:dyDescent="0.15">
      <c r="A119"/>
      <c r="B119"/>
      <c r="C119"/>
      <c r="D119"/>
      <c r="E119"/>
      <c r="F119"/>
      <c r="G119"/>
      <c r="H119"/>
      <c r="I119"/>
      <c r="J119"/>
      <c r="K119"/>
      <c r="L119"/>
      <c r="M119"/>
      <c r="N119"/>
      <c r="O119"/>
      <c r="P119"/>
      <c r="Q119"/>
      <c r="R119"/>
      <c r="S119"/>
      <c r="T119"/>
      <c r="U119"/>
      <c r="V119"/>
      <c r="W119"/>
      <c r="X119"/>
      <c r="Y119" s="102"/>
      <c r="Z119" s="102"/>
      <c r="AA119" s="132"/>
    </row>
    <row r="120" spans="1:48" ht="14.1" customHeight="1" x14ac:dyDescent="0.15">
      <c r="A120"/>
      <c r="B120"/>
      <c r="C120"/>
      <c r="D120"/>
      <c r="E120"/>
      <c r="F120"/>
      <c r="G120"/>
      <c r="H120"/>
      <c r="I120"/>
      <c r="J120"/>
      <c r="K120"/>
      <c r="L120"/>
      <c r="M120"/>
      <c r="N120"/>
      <c r="O120"/>
      <c r="P120"/>
      <c r="Q120"/>
      <c r="R120"/>
      <c r="S120"/>
      <c r="T120"/>
      <c r="U120"/>
      <c r="V120"/>
      <c r="W120"/>
      <c r="X120"/>
      <c r="Y120" s="102"/>
      <c r="Z120" s="102"/>
      <c r="AA120" s="132"/>
    </row>
    <row r="121" spans="1:48" ht="14.1" customHeight="1" x14ac:dyDescent="0.15">
      <c r="A121"/>
      <c r="B121"/>
      <c r="C121"/>
      <c r="D121"/>
      <c r="E121"/>
      <c r="F121"/>
      <c r="G121"/>
      <c r="H121"/>
      <c r="I121"/>
      <c r="J121"/>
      <c r="K121"/>
      <c r="L121"/>
      <c r="M121"/>
      <c r="N121"/>
      <c r="O121"/>
      <c r="P121"/>
      <c r="Q121"/>
      <c r="R121"/>
      <c r="S121"/>
      <c r="T121"/>
      <c r="U121"/>
      <c r="V121"/>
    </row>
    <row r="122" spans="1:48" ht="14.1" customHeight="1" x14ac:dyDescent="0.15">
      <c r="A122"/>
      <c r="B122"/>
      <c r="C122"/>
      <c r="D122"/>
      <c r="E122"/>
      <c r="F122"/>
      <c r="G122"/>
      <c r="H122"/>
      <c r="I122"/>
      <c r="J122"/>
      <c r="K122"/>
      <c r="L122"/>
      <c r="M122"/>
      <c r="N122"/>
      <c r="O122"/>
      <c r="P122"/>
      <c r="Q122"/>
      <c r="R122"/>
      <c r="S122"/>
      <c r="T122"/>
      <c r="U122"/>
      <c r="V122"/>
    </row>
    <row r="123" spans="1:48" ht="14.1" customHeight="1" x14ac:dyDescent="0.15">
      <c r="A123"/>
      <c r="B123"/>
      <c r="C123"/>
      <c r="D123"/>
      <c r="E123"/>
      <c r="F123"/>
      <c r="G123"/>
      <c r="H123"/>
      <c r="I123"/>
      <c r="J123"/>
      <c r="K123"/>
      <c r="L123"/>
      <c r="M123"/>
      <c r="N123"/>
      <c r="O123"/>
      <c r="P123"/>
      <c r="Q123"/>
      <c r="R123"/>
      <c r="S123"/>
      <c r="T123"/>
      <c r="U123"/>
      <c r="V123"/>
    </row>
    <row r="124" spans="1:48" ht="14.1" customHeight="1" x14ac:dyDescent="0.15">
      <c r="A124"/>
      <c r="B124"/>
      <c r="C124"/>
      <c r="D124"/>
      <c r="E124"/>
      <c r="F124"/>
      <c r="G124"/>
      <c r="H124"/>
      <c r="I124"/>
      <c r="J124"/>
      <c r="K124"/>
      <c r="L124"/>
      <c r="M124"/>
      <c r="N124"/>
      <c r="O124"/>
      <c r="P124"/>
      <c r="Q124"/>
      <c r="R124"/>
      <c r="S124"/>
      <c r="T124"/>
      <c r="U124"/>
      <c r="V124"/>
    </row>
    <row r="125" spans="1:48" ht="14.1" customHeight="1" x14ac:dyDescent="0.15">
      <c r="A125"/>
      <c r="B125"/>
      <c r="C125"/>
      <c r="D125"/>
      <c r="E125"/>
      <c r="F125"/>
      <c r="G125"/>
      <c r="H125"/>
      <c r="I125"/>
      <c r="J125"/>
      <c r="K125"/>
      <c r="L125"/>
      <c r="M125"/>
      <c r="N125"/>
      <c r="O125"/>
      <c r="P125"/>
      <c r="Q125"/>
      <c r="R125"/>
      <c r="S125"/>
      <c r="T125"/>
      <c r="U125"/>
      <c r="V125"/>
    </row>
    <row r="126" spans="1:48" ht="14.1" customHeight="1" x14ac:dyDescent="0.15">
      <c r="A126"/>
      <c r="B126"/>
      <c r="C126"/>
      <c r="D126"/>
      <c r="E126"/>
      <c r="F126"/>
      <c r="G126"/>
      <c r="H126"/>
      <c r="I126"/>
      <c r="J126"/>
      <c r="K126"/>
      <c r="L126"/>
      <c r="M126"/>
      <c r="N126"/>
      <c r="O126"/>
      <c r="P126"/>
      <c r="Q126"/>
      <c r="R126"/>
      <c r="S126"/>
      <c r="T126"/>
      <c r="U126"/>
      <c r="V126"/>
    </row>
    <row r="127" spans="1:48" ht="14.1" customHeight="1" x14ac:dyDescent="0.15">
      <c r="A127"/>
      <c r="B127"/>
      <c r="C127"/>
      <c r="D127"/>
      <c r="E127"/>
      <c r="F127"/>
      <c r="G127"/>
      <c r="H127"/>
      <c r="I127"/>
      <c r="J127"/>
      <c r="K127"/>
      <c r="L127"/>
      <c r="M127"/>
      <c r="N127"/>
      <c r="O127"/>
      <c r="P127"/>
      <c r="Q127"/>
      <c r="R127"/>
      <c r="S127"/>
      <c r="T127"/>
      <c r="U127"/>
      <c r="V127"/>
    </row>
    <row r="128" spans="1:48" ht="14.1" customHeight="1" x14ac:dyDescent="0.15">
      <c r="A128"/>
      <c r="B128"/>
      <c r="C128"/>
      <c r="D128"/>
      <c r="E128"/>
      <c r="F128"/>
      <c r="G128"/>
      <c r="H128"/>
      <c r="I128"/>
      <c r="J128"/>
      <c r="K128"/>
      <c r="L128"/>
      <c r="M128"/>
      <c r="N128"/>
      <c r="O128"/>
      <c r="P128"/>
      <c r="Q128"/>
      <c r="R128"/>
      <c r="S128"/>
      <c r="T128"/>
      <c r="U128"/>
      <c r="V128"/>
    </row>
    <row r="129" spans="1:22" ht="14.1" customHeight="1" x14ac:dyDescent="0.15">
      <c r="A129"/>
      <c r="B129"/>
      <c r="C129"/>
      <c r="D129"/>
      <c r="E129"/>
      <c r="F129"/>
      <c r="G129"/>
      <c r="H129"/>
      <c r="I129"/>
      <c r="J129"/>
      <c r="K129"/>
      <c r="L129"/>
      <c r="M129"/>
      <c r="N129"/>
      <c r="O129"/>
      <c r="P129"/>
      <c r="Q129"/>
      <c r="R129"/>
      <c r="S129"/>
      <c r="T129"/>
      <c r="U129"/>
      <c r="V129"/>
    </row>
    <row r="130" spans="1:22" ht="14.1" customHeight="1" x14ac:dyDescent="0.15">
      <c r="A130"/>
      <c r="B130"/>
      <c r="C130"/>
      <c r="D130"/>
      <c r="E130"/>
      <c r="F130"/>
      <c r="G130"/>
      <c r="H130"/>
      <c r="I130"/>
      <c r="J130"/>
      <c r="K130"/>
      <c r="L130"/>
      <c r="M130"/>
      <c r="N130"/>
      <c r="O130"/>
      <c r="P130"/>
      <c r="Q130"/>
      <c r="R130"/>
      <c r="S130"/>
      <c r="T130"/>
      <c r="U130"/>
      <c r="V130"/>
    </row>
    <row r="131" spans="1:22" ht="14.1" customHeight="1" x14ac:dyDescent="0.15">
      <c r="A131"/>
      <c r="B131"/>
      <c r="C131"/>
      <c r="D131"/>
      <c r="E131"/>
      <c r="F131"/>
      <c r="G131"/>
      <c r="H131"/>
      <c r="I131"/>
      <c r="J131"/>
      <c r="K131"/>
      <c r="L131"/>
      <c r="M131"/>
      <c r="N131"/>
      <c r="O131"/>
      <c r="P131"/>
      <c r="Q131"/>
      <c r="R131"/>
      <c r="S131"/>
      <c r="T131"/>
      <c r="U131"/>
      <c r="V131"/>
    </row>
    <row r="132" spans="1:22" ht="14.1" customHeight="1" x14ac:dyDescent="0.15">
      <c r="A132"/>
      <c r="B132"/>
      <c r="C132"/>
      <c r="D132"/>
      <c r="E132"/>
      <c r="F132"/>
      <c r="G132"/>
      <c r="H132"/>
      <c r="I132"/>
      <c r="J132"/>
      <c r="K132"/>
      <c r="L132"/>
      <c r="M132"/>
      <c r="N132"/>
      <c r="O132"/>
      <c r="P132"/>
      <c r="Q132"/>
      <c r="R132"/>
      <c r="S132"/>
      <c r="T132"/>
      <c r="U132"/>
      <c r="V132"/>
    </row>
    <row r="133" spans="1:22" ht="14.1" customHeight="1" x14ac:dyDescent="0.15">
      <c r="A133"/>
      <c r="B133"/>
      <c r="C133"/>
      <c r="D133"/>
      <c r="E133"/>
      <c r="F133"/>
      <c r="G133"/>
      <c r="H133"/>
      <c r="I133"/>
      <c r="J133"/>
      <c r="K133"/>
      <c r="L133"/>
      <c r="M133"/>
      <c r="N133"/>
      <c r="O133"/>
      <c r="P133"/>
      <c r="Q133"/>
      <c r="R133"/>
      <c r="S133"/>
      <c r="T133"/>
      <c r="U133"/>
      <c r="V133"/>
    </row>
    <row r="134" spans="1:22" ht="14.1" customHeight="1" x14ac:dyDescent="0.15">
      <c r="A134"/>
      <c r="B134"/>
      <c r="C134"/>
      <c r="D134"/>
      <c r="E134"/>
      <c r="F134"/>
      <c r="G134"/>
      <c r="H134"/>
      <c r="I134"/>
      <c r="J134"/>
      <c r="K134"/>
      <c r="L134"/>
      <c r="M134"/>
      <c r="N134"/>
      <c r="O134"/>
      <c r="P134"/>
      <c r="Q134"/>
      <c r="R134"/>
      <c r="S134"/>
      <c r="T134"/>
      <c r="U134"/>
      <c r="V134"/>
    </row>
    <row r="135" spans="1:22" ht="14.1" customHeight="1" x14ac:dyDescent="0.15">
      <c r="A135"/>
      <c r="B135"/>
      <c r="C135"/>
      <c r="D135"/>
      <c r="E135"/>
      <c r="F135"/>
      <c r="G135"/>
      <c r="H135"/>
      <c r="I135"/>
      <c r="J135"/>
      <c r="K135"/>
      <c r="L135"/>
      <c r="M135"/>
      <c r="N135"/>
      <c r="O135"/>
      <c r="P135"/>
      <c r="Q135"/>
      <c r="R135"/>
      <c r="S135"/>
      <c r="T135"/>
      <c r="U135"/>
      <c r="V135"/>
    </row>
    <row r="136" spans="1:22" ht="14.1" customHeight="1" x14ac:dyDescent="0.15">
      <c r="A136"/>
      <c r="B136"/>
      <c r="C136"/>
      <c r="D136"/>
      <c r="E136"/>
      <c r="F136"/>
      <c r="G136"/>
      <c r="H136"/>
      <c r="I136"/>
      <c r="J136"/>
      <c r="K136"/>
      <c r="L136"/>
      <c r="M136"/>
      <c r="N136"/>
      <c r="O136"/>
      <c r="P136"/>
      <c r="Q136"/>
      <c r="R136"/>
      <c r="S136"/>
      <c r="T136"/>
      <c r="U136"/>
      <c r="V136"/>
    </row>
    <row r="137" spans="1:22" ht="14.1" customHeight="1" x14ac:dyDescent="0.15">
      <c r="A137"/>
      <c r="B137"/>
      <c r="C137"/>
      <c r="D137"/>
      <c r="E137"/>
      <c r="F137"/>
      <c r="G137"/>
      <c r="H137"/>
      <c r="I137"/>
      <c r="J137"/>
      <c r="K137"/>
      <c r="L137"/>
      <c r="M137"/>
      <c r="N137"/>
      <c r="O137"/>
      <c r="P137"/>
      <c r="Q137"/>
      <c r="R137"/>
      <c r="S137"/>
      <c r="T137"/>
      <c r="U137"/>
      <c r="V137"/>
    </row>
    <row r="138" spans="1:22" ht="14.1" customHeight="1" x14ac:dyDescent="0.15">
      <c r="A138"/>
      <c r="B138"/>
      <c r="C138"/>
      <c r="D138"/>
      <c r="E138"/>
      <c r="F138"/>
      <c r="G138"/>
      <c r="H138"/>
      <c r="I138"/>
      <c r="J138"/>
      <c r="K138"/>
      <c r="L138"/>
      <c r="M138"/>
      <c r="N138"/>
      <c r="O138"/>
      <c r="P138"/>
      <c r="Q138"/>
      <c r="R138"/>
      <c r="S138"/>
      <c r="T138"/>
      <c r="U138"/>
      <c r="V138"/>
    </row>
    <row r="139" spans="1:22" ht="14.1" customHeight="1" x14ac:dyDescent="0.15">
      <c r="A139"/>
      <c r="B139"/>
      <c r="C139"/>
      <c r="D139"/>
      <c r="E139"/>
      <c r="F139"/>
      <c r="G139"/>
      <c r="H139"/>
      <c r="I139"/>
      <c r="J139"/>
      <c r="K139"/>
      <c r="L139"/>
      <c r="M139"/>
      <c r="N139"/>
      <c r="O139"/>
      <c r="P139"/>
      <c r="Q139"/>
      <c r="R139"/>
      <c r="S139"/>
      <c r="T139"/>
      <c r="U139"/>
      <c r="V139"/>
    </row>
    <row r="140" spans="1:22" ht="14.1" customHeight="1" x14ac:dyDescent="0.15">
      <c r="A140"/>
      <c r="B140"/>
      <c r="C140"/>
      <c r="D140"/>
      <c r="E140"/>
      <c r="F140"/>
      <c r="G140"/>
      <c r="H140"/>
      <c r="I140"/>
      <c r="J140"/>
      <c r="K140"/>
      <c r="L140"/>
      <c r="M140"/>
      <c r="N140"/>
      <c r="O140"/>
      <c r="P140"/>
      <c r="Q140"/>
      <c r="R140"/>
      <c r="S140"/>
      <c r="T140"/>
      <c r="U140"/>
      <c r="V140"/>
    </row>
    <row r="141" spans="1:22" ht="14.1" customHeight="1" x14ac:dyDescent="0.15">
      <c r="A141"/>
      <c r="B141"/>
      <c r="C141"/>
      <c r="D141"/>
      <c r="E141"/>
      <c r="F141"/>
      <c r="G141"/>
      <c r="H141"/>
      <c r="I141"/>
      <c r="J141"/>
      <c r="K141"/>
      <c r="L141"/>
      <c r="M141"/>
      <c r="N141"/>
      <c r="O141"/>
      <c r="P141"/>
      <c r="Q141"/>
      <c r="R141"/>
      <c r="S141"/>
      <c r="T141"/>
      <c r="U141"/>
      <c r="V141"/>
    </row>
    <row r="142" spans="1:22" ht="14.1" customHeight="1" x14ac:dyDescent="0.15">
      <c r="A142" s="102"/>
      <c r="Q142" s="132"/>
    </row>
    <row r="143" spans="1:22" ht="14.1" customHeight="1" x14ac:dyDescent="0.15">
      <c r="A143" s="102"/>
      <c r="Q143" s="132"/>
    </row>
  </sheetData>
  <sheetProtection selectLockedCells="1" selectUnlockedCells="1"/>
  <mergeCells count="260">
    <mergeCell ref="AC3:AE3"/>
    <mergeCell ref="AG3:AI3"/>
    <mergeCell ref="N4:O4"/>
    <mergeCell ref="P4:Q4"/>
    <mergeCell ref="AC4:AD4"/>
    <mergeCell ref="AG4:AH4"/>
    <mergeCell ref="B2:I2"/>
    <mergeCell ref="J2:L2"/>
    <mergeCell ref="N2:Q2"/>
    <mergeCell ref="T2:AA2"/>
    <mergeCell ref="B3:I4"/>
    <mergeCell ref="J3:L4"/>
    <mergeCell ref="N3:O3"/>
    <mergeCell ref="P3:Q3"/>
    <mergeCell ref="P5:Q5"/>
    <mergeCell ref="AC5:AD5"/>
    <mergeCell ref="AG5:AH5"/>
    <mergeCell ref="B6:C6"/>
    <mergeCell ref="D6:E6"/>
    <mergeCell ref="F6:G6"/>
    <mergeCell ref="H6:I6"/>
    <mergeCell ref="J6:L6"/>
    <mergeCell ref="N6:O6"/>
    <mergeCell ref="P6:Q6"/>
    <mergeCell ref="B5:C5"/>
    <mergeCell ref="D5:E5"/>
    <mergeCell ref="F5:G5"/>
    <mergeCell ref="H5:I5"/>
    <mergeCell ref="J5:L5"/>
    <mergeCell ref="N5:O5"/>
    <mergeCell ref="T6:U6"/>
    <mergeCell ref="AC6:AD6"/>
    <mergeCell ref="AG6:AH6"/>
    <mergeCell ref="B7:C8"/>
    <mergeCell ref="D7:I8"/>
    <mergeCell ref="K7:L7"/>
    <mergeCell ref="N7:O7"/>
    <mergeCell ref="P7:Q7"/>
    <mergeCell ref="T7:U7"/>
    <mergeCell ref="V7:W7"/>
    <mergeCell ref="X7:Y7"/>
    <mergeCell ref="Z7:AA7"/>
    <mergeCell ref="AC7:AD7"/>
    <mergeCell ref="AG7:AH7"/>
    <mergeCell ref="K8:L8"/>
    <mergeCell ref="N8:O8"/>
    <mergeCell ref="P8:Q8"/>
    <mergeCell ref="T8:Z8"/>
    <mergeCell ref="AC8:AD8"/>
    <mergeCell ref="AG8:AH8"/>
    <mergeCell ref="AC9:AD9"/>
    <mergeCell ref="AG9:AH9"/>
    <mergeCell ref="B10:B11"/>
    <mergeCell ref="C10:D11"/>
    <mergeCell ref="E10:E11"/>
    <mergeCell ref="F10:G11"/>
    <mergeCell ref="J10:Q10"/>
    <mergeCell ref="J11:K12"/>
    <mergeCell ref="L11:M11"/>
    <mergeCell ref="N11:O11"/>
    <mergeCell ref="P11:Q11"/>
    <mergeCell ref="L12:M12"/>
    <mergeCell ref="N12:O12"/>
    <mergeCell ref="P12:Q12"/>
    <mergeCell ref="AC12:AJ12"/>
    <mergeCell ref="B13:B14"/>
    <mergeCell ref="C13:D14"/>
    <mergeCell ref="E13:E14"/>
    <mergeCell ref="F13:G14"/>
    <mergeCell ref="J13:Q13"/>
    <mergeCell ref="AE13:AF13"/>
    <mergeCell ref="AG13:AH13"/>
    <mergeCell ref="J14:N36"/>
    <mergeCell ref="O14:P14"/>
    <mergeCell ref="AE14:AF14"/>
    <mergeCell ref="AG14:AH14"/>
    <mergeCell ref="AE19:AG19"/>
    <mergeCell ref="AH19:AJ19"/>
    <mergeCell ref="AE20:AG20"/>
    <mergeCell ref="AH20:AJ20"/>
    <mergeCell ref="B19:C20"/>
    <mergeCell ref="D19:D20"/>
    <mergeCell ref="F19:G19"/>
    <mergeCell ref="U19:W20"/>
    <mergeCell ref="X19:Z20"/>
    <mergeCell ref="AC19:AD19"/>
    <mergeCell ref="F20:G20"/>
    <mergeCell ref="AC20:AD20"/>
    <mergeCell ref="B16:D16"/>
    <mergeCell ref="F16:H16"/>
    <mergeCell ref="B17:C18"/>
    <mergeCell ref="D17:D18"/>
    <mergeCell ref="F17:G17"/>
    <mergeCell ref="AC17:AJ17"/>
    <mergeCell ref="F18:G18"/>
    <mergeCell ref="AC18:AD18"/>
    <mergeCell ref="AE18:AG18"/>
    <mergeCell ref="AH18:AJ18"/>
    <mergeCell ref="AH22:AJ22"/>
    <mergeCell ref="B23:C24"/>
    <mergeCell ref="D23:D24"/>
    <mergeCell ref="F23:G23"/>
    <mergeCell ref="AC23:AD23"/>
    <mergeCell ref="AE23:AG23"/>
    <mergeCell ref="AH23:AJ23"/>
    <mergeCell ref="B21:C22"/>
    <mergeCell ref="D21:D22"/>
    <mergeCell ref="F21:G21"/>
    <mergeCell ref="AC21:AD21"/>
    <mergeCell ref="AE21:AG21"/>
    <mergeCell ref="AH21:AJ21"/>
    <mergeCell ref="F22:G22"/>
    <mergeCell ref="T22:Y22"/>
    <mergeCell ref="AC22:AD22"/>
    <mergeCell ref="AE22:AG22"/>
    <mergeCell ref="O27:Q27"/>
    <mergeCell ref="AC27:AJ27"/>
    <mergeCell ref="O28:Q28"/>
    <mergeCell ref="O29:Q29"/>
    <mergeCell ref="AC29:AD29"/>
    <mergeCell ref="AE29:AJ29"/>
    <mergeCell ref="B25:C26"/>
    <mergeCell ref="D25:D26"/>
    <mergeCell ref="F25:G26"/>
    <mergeCell ref="H25:H26"/>
    <mergeCell ref="B27:C28"/>
    <mergeCell ref="D27:D28"/>
    <mergeCell ref="F27:G28"/>
    <mergeCell ref="H27:H28"/>
    <mergeCell ref="H31:H32"/>
    <mergeCell ref="O31:Q31"/>
    <mergeCell ref="AC31:AD31"/>
    <mergeCell ref="AE31:AJ31"/>
    <mergeCell ref="O32:Q32"/>
    <mergeCell ref="AC32:AD32"/>
    <mergeCell ref="AE32:AJ32"/>
    <mergeCell ref="B30:D30"/>
    <mergeCell ref="F30:H30"/>
    <mergeCell ref="O30:Q30"/>
    <mergeCell ref="AC30:AD30"/>
    <mergeCell ref="AE30:AJ30"/>
    <mergeCell ref="B31:B32"/>
    <mergeCell ref="C31:C32"/>
    <mergeCell ref="D31:D32"/>
    <mergeCell ref="F31:F32"/>
    <mergeCell ref="G31:G32"/>
    <mergeCell ref="O33:Q33"/>
    <mergeCell ref="T33:AA34"/>
    <mergeCell ref="AC33:AD33"/>
    <mergeCell ref="AE33:AJ33"/>
    <mergeCell ref="O34:Q34"/>
    <mergeCell ref="AC34:AD34"/>
    <mergeCell ref="AE34:AJ34"/>
    <mergeCell ref="B33:B34"/>
    <mergeCell ref="C33:C34"/>
    <mergeCell ref="D33:D34"/>
    <mergeCell ref="F33:F34"/>
    <mergeCell ref="G33:G34"/>
    <mergeCell ref="H33:H34"/>
    <mergeCell ref="T37:U37"/>
    <mergeCell ref="AC37:AD37"/>
    <mergeCell ref="AE37:AJ37"/>
    <mergeCell ref="B38:I38"/>
    <mergeCell ref="J38:Q38"/>
    <mergeCell ref="T38:U38"/>
    <mergeCell ref="AC38:AD38"/>
    <mergeCell ref="AE38:AJ38"/>
    <mergeCell ref="O35:P35"/>
    <mergeCell ref="T35:W36"/>
    <mergeCell ref="X35:AA35"/>
    <mergeCell ref="AC35:AD35"/>
    <mergeCell ref="AE35:AJ35"/>
    <mergeCell ref="O36:P36"/>
    <mergeCell ref="AC36:AD36"/>
    <mergeCell ref="AE36:AJ36"/>
    <mergeCell ref="B35:B36"/>
    <mergeCell ref="C35:C36"/>
    <mergeCell ref="D35:D36"/>
    <mergeCell ref="F35:F36"/>
    <mergeCell ref="G35:G36"/>
    <mergeCell ref="H35:H36"/>
    <mergeCell ref="AC41:AD41"/>
    <mergeCell ref="AE41:AJ41"/>
    <mergeCell ref="B42:D42"/>
    <mergeCell ref="E42:G42"/>
    <mergeCell ref="H42:I42"/>
    <mergeCell ref="J42:Q42"/>
    <mergeCell ref="X42:Z42"/>
    <mergeCell ref="AE39:AJ39"/>
    <mergeCell ref="B40:D40"/>
    <mergeCell ref="E40:G40"/>
    <mergeCell ref="H40:I40"/>
    <mergeCell ref="T40:U40"/>
    <mergeCell ref="AC40:AD40"/>
    <mergeCell ref="AE40:AJ40"/>
    <mergeCell ref="B39:D39"/>
    <mergeCell ref="E39:G39"/>
    <mergeCell ref="H39:I39"/>
    <mergeCell ref="J39:Q41"/>
    <mergeCell ref="T39:U39"/>
    <mergeCell ref="AC39:AD39"/>
    <mergeCell ref="B41:D41"/>
    <mergeCell ref="E41:G41"/>
    <mergeCell ref="H41:I41"/>
    <mergeCell ref="X41:Z41"/>
    <mergeCell ref="B43:D43"/>
    <mergeCell ref="E43:G43"/>
    <mergeCell ref="H43:I43"/>
    <mergeCell ref="J43:Q51"/>
    <mergeCell ref="AC43:AJ43"/>
    <mergeCell ref="B44:D44"/>
    <mergeCell ref="E44:G44"/>
    <mergeCell ref="H44:I44"/>
    <mergeCell ref="AC44:AC46"/>
    <mergeCell ref="AD44:AF46"/>
    <mergeCell ref="AJ45:AJ46"/>
    <mergeCell ref="B46:D46"/>
    <mergeCell ref="E46:G46"/>
    <mergeCell ref="H46:I46"/>
    <mergeCell ref="B47:D47"/>
    <mergeCell ref="E47:G47"/>
    <mergeCell ref="H47:I47"/>
    <mergeCell ref="T47:AA47"/>
    <mergeCell ref="AD47:AF47"/>
    <mergeCell ref="B45:D45"/>
    <mergeCell ref="E45:G45"/>
    <mergeCell ref="H45:I45"/>
    <mergeCell ref="AG45:AG46"/>
    <mergeCell ref="AH45:AH46"/>
    <mergeCell ref="AI45:AI46"/>
    <mergeCell ref="B50:D50"/>
    <mergeCell ref="E50:G50"/>
    <mergeCell ref="H50:I50"/>
    <mergeCell ref="AD50:AF50"/>
    <mergeCell ref="B51:D51"/>
    <mergeCell ref="E51:G51"/>
    <mergeCell ref="H51:I51"/>
    <mergeCell ref="AD51:AF51"/>
    <mergeCell ref="B48:D48"/>
    <mergeCell ref="E48:G48"/>
    <mergeCell ref="H48:I48"/>
    <mergeCell ref="V48:W48"/>
    <mergeCell ref="AD48:AF48"/>
    <mergeCell ref="B49:D49"/>
    <mergeCell ref="E49:G49"/>
    <mergeCell ref="H49:I49"/>
    <mergeCell ref="AD49:AF49"/>
    <mergeCell ref="Z64:AA64"/>
    <mergeCell ref="T65:U65"/>
    <mergeCell ref="Z65:AA65"/>
    <mergeCell ref="B52:Q52"/>
    <mergeCell ref="AD52:AF52"/>
    <mergeCell ref="B53:Q55"/>
    <mergeCell ref="B56:Q66"/>
    <mergeCell ref="T61:AA61"/>
    <mergeCell ref="T62:U62"/>
    <mergeCell ref="Z62:AA62"/>
    <mergeCell ref="T63:U63"/>
    <mergeCell ref="Z63:AA63"/>
    <mergeCell ref="T64:U64"/>
  </mergeCells>
  <phoneticPr fontId="53"/>
  <dataValidations count="1">
    <dataValidation operator="equal" allowBlank="1" showErrorMessage="1" sqref="V7:W7">
      <formula1>能力分類</formula1>
      <formula2>0</formula2>
    </dataValidation>
  </dataValidations>
  <pageMargins left="0.7" right="0.7" top="0.75" bottom="0.75" header="0.51180555555555551" footer="0.51180555555555551"/>
  <pageSetup paperSize="9" firstPageNumber="0" orientation="portrait" horizontalDpi="300" verticalDpi="300"/>
  <headerFooter alignWithMargins="0"/>
  <drawing r:id="rId1"/>
  <extLst>
    <ext xmlns:x14="http://schemas.microsoft.com/office/spreadsheetml/2009/9/main" uri="{CCE6A557-97BC-4b89-ADB6-D9C93CAAB3DF}">
      <x14:dataValidations xmlns:xm="http://schemas.microsoft.com/office/excel/2006/main" count="21">
        <x14:dataValidation operator="equal">
          <x14:formula1>
            <xm:f>リスト!$F$2:$F$8</xm:f>
          </x14:formula1>
          <x14:formula2>
            <xm:f>0</xm:f>
          </x14:formula2>
          <xm:sqref>Z7:AA7</xm:sqref>
        </x14:dataValidation>
        <x14:dataValidation type="list" operator="equal">
          <x14:formula1>
            <xm:f>リスト!$F$2:$F$8</xm:f>
          </x14:formula1>
          <x14:formula2>
            <xm:f>0</xm:f>
          </x14:formula2>
          <xm:sqref>F10:G10</xm:sqref>
        </x14:dataValidation>
        <x14:dataValidation type="list" operator="equal" allowBlank="1">
          <x14:formula1>
            <xm:f>リスト!$T$2:$T$8</xm:f>
          </x14:formula1>
          <x14:formula2>
            <xm:f>0</xm:f>
          </x14:formula2>
          <xm:sqref>H6:I6</xm:sqref>
        </x14:dataValidation>
        <x14:dataValidation type="list" operator="equal">
          <x14:formula1>
            <xm:f>リスト!$H$2:$H$6</xm:f>
          </x14:formula1>
          <x14:formula2>
            <xm:f>0</xm:f>
          </x14:formula2>
          <xm:sqref>K8:L8</xm:sqref>
        </x14:dataValidation>
        <x14:dataValidation type="list" operator="equal">
          <x14:formula1>
            <xm:f>リスト!$M$2:$M$6</xm:f>
          </x14:formula1>
          <x14:formula2>
            <xm:f>0</xm:f>
          </x14:formula2>
          <xm:sqref>Q3 L7</xm:sqref>
        </x14:dataValidation>
        <x14:dataValidation type="list" operator="equal" allowBlank="1" showErrorMessage="1">
          <x14:formula1>
            <xm:f>リスト!$A$2:$A$8</xm:f>
          </x14:formula1>
          <x14:formula2>
            <xm:f>0</xm:f>
          </x14:formula2>
          <xm:sqref>C10:D10</xm:sqref>
        </x14:dataValidation>
        <x14:dataValidation type="list" operator="equal" allowBlank="1">
          <x14:formula1>
            <xm:f>リスト!$AN$2:$AN$38</xm:f>
          </x14:formula1>
          <x14:formula2>
            <xm:f>0</xm:f>
          </x14:formula2>
          <xm:sqref>L11:M12 J12</xm:sqref>
        </x14:dataValidation>
        <x14:dataValidation type="list" operator="equal" allowBlank="1">
          <x14:formula1>
            <xm:f>リスト!$AP$2:$AP$74</xm:f>
          </x14:formula1>
          <x14:formula2>
            <xm:f>0</xm:f>
          </x14:formula2>
          <xm:sqref>P11</xm:sqref>
        </x14:dataValidation>
        <x14:dataValidation type="list" operator="equal" allowBlank="1">
          <x14:formula1>
            <xm:f>リスト!$AP$2:$AP$74</xm:f>
          </x14:formula1>
          <x14:formula2>
            <xm:f>0</xm:f>
          </x14:formula2>
          <xm:sqref>P12</xm:sqref>
        </x14:dataValidation>
        <x14:dataValidation type="list" operator="equal" allowBlank="1">
          <x14:formula1>
            <xm:f>リスト!$C$2:$C$7</xm:f>
          </x14:formula1>
          <x14:formula2>
            <xm:f>0</xm:f>
          </x14:formula2>
          <xm:sqref>F13:G13 G14</xm:sqref>
        </x14:dataValidation>
        <x14:dataValidation type="list" operator="equal" allowBlank="1">
          <x14:formula1>
            <xm:f>リスト!$K$2:$K$33</xm:f>
          </x14:formula1>
          <x14:formula2>
            <xm:f>0</xm:f>
          </x14:formula2>
          <xm:sqref>D13:D14</xm:sqref>
        </x14:dataValidation>
        <x14:dataValidation type="list" operator="equal" allowBlank="1">
          <x14:formula1>
            <xm:f>リスト!$C$22:$C$27</xm:f>
          </x14:formula1>
          <x14:formula2>
            <xm:f>0</xm:f>
          </x14:formula2>
          <xm:sqref>P4:Q5 Q6 Q12</xm:sqref>
        </x14:dataValidation>
        <x14:dataValidation type="list" operator="equal">
          <x14:formula1>
            <xm:f>リスト!$AR$2:$AR$58</xm:f>
          </x14:formula1>
          <x14:formula2>
            <xm:f>0</xm:f>
          </x14:formula2>
          <xm:sqref>J6:L6 Q11</xm:sqref>
        </x14:dataValidation>
        <x14:dataValidation operator="equal">
          <x14:formula1>
            <xm:f>リスト!$H$2:$H$6</xm:f>
          </x14:formula1>
          <x14:formula2>
            <xm:f>0</xm:f>
          </x14:formula2>
          <xm:sqref>D7:I7 E8:I8</xm:sqref>
        </x14:dataValidation>
        <x14:dataValidation type="list" operator="equal" allowBlank="1">
          <x14:formula1>
            <xm:f>リスト!$C$13:$C$19</xm:f>
          </x14:formula1>
          <x14:formula2>
            <xm:f>0</xm:f>
          </x14:formula2>
          <xm:sqref>P3</xm:sqref>
        </x14:dataValidation>
        <x14:dataValidation type="list" operator="equal" allowBlank="1">
          <x14:formula1>
            <xm:f>リスト!$AU$2:$AU$8</xm:f>
          </x14:formula1>
          <x14:formula2>
            <xm:f>0</xm:f>
          </x14:formula2>
          <xm:sqref>P6:P8 N7:Q8</xm:sqref>
        </x14:dataValidation>
        <x14:dataValidation operator="equal" allowBlank="1">
          <x14:formula1>
            <xm:f>リスト!$AY$2:$AY$26</xm:f>
          </x14:formula1>
          <x14:formula2>
            <xm:f>0</xm:f>
          </x14:formula2>
          <xm:sqref>H40:I51</xm:sqref>
        </x14:dataValidation>
        <x14:dataValidation type="list" operator="equal" allowBlank="1">
          <x14:formula1>
            <xm:f>リスト!$K$2:$K$24</xm:f>
          </x14:formula1>
          <x14:formula2>
            <xm:f>0</xm:f>
          </x14:formula2>
          <xm:sqref>C13</xm:sqref>
        </x14:dataValidation>
        <x14:dataValidation type="list" operator="equal" allowBlank="1">
          <x14:formula1>
            <xm:f>リスト!$AH$2:$AH$37</xm:f>
          </x14:formula1>
          <x14:formula2>
            <xm:f>0</xm:f>
          </x14:formula2>
          <xm:sqref>B40:D51</xm:sqref>
        </x14:dataValidation>
        <x14:dataValidation type="list" operator="equal" allowBlank="1">
          <x14:formula1>
            <xm:f>リスト!$AY$2:$AY$25</xm:f>
          </x14:formula1>
          <x14:formula2>
            <xm:f>0</xm:f>
          </x14:formula2>
          <xm:sqref>E40:G49</xm:sqref>
        </x14:dataValidation>
        <x14:dataValidation type="list" operator="equal">
          <x14:formula1>
            <xm:f>リスト!$M$2:$M$9</xm:f>
          </x14:formula1>
          <x14:formula2>
            <xm:f>0</xm:f>
          </x14:formula2>
          <xm:sqref>K7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F131"/>
  <sheetViews>
    <sheetView topLeftCell="F7" zoomScaleNormal="100" workbookViewId="0">
      <selection activeCell="K17" sqref="K17"/>
    </sheetView>
  </sheetViews>
  <sheetFormatPr defaultColWidth="10.140625" defaultRowHeight="14.1" customHeight="1" x14ac:dyDescent="0.15"/>
  <cols>
    <col min="1" max="16384" width="10.140625" style="133"/>
  </cols>
  <sheetData>
    <row r="1" spans="1:31" ht="14.1" customHeight="1" x14ac:dyDescent="0.15">
      <c r="A1" s="134"/>
      <c r="B1" s="134"/>
      <c r="C1" s="134"/>
      <c r="D1" s="134"/>
      <c r="E1" s="134"/>
      <c r="F1" s="134"/>
      <c r="G1" s="134"/>
      <c r="H1" s="134"/>
      <c r="I1" s="134"/>
      <c r="J1" s="134"/>
      <c r="K1" s="134"/>
      <c r="L1" s="17"/>
      <c r="M1" s="17"/>
      <c r="N1" s="17"/>
      <c r="O1" s="17"/>
      <c r="P1" s="17"/>
      <c r="Q1" s="17"/>
      <c r="R1" s="17"/>
      <c r="S1" s="17"/>
      <c r="T1" s="17"/>
      <c r="U1" s="17"/>
      <c r="V1" s="17"/>
    </row>
    <row r="2" spans="1:31" ht="14.1" customHeight="1" x14ac:dyDescent="0.15">
      <c r="A2" s="134"/>
      <c r="B2" s="382" t="s">
        <v>895</v>
      </c>
      <c r="C2" s="382"/>
      <c r="D2" s="382"/>
      <c r="E2" s="382"/>
      <c r="F2" s="382"/>
      <c r="G2" s="382"/>
      <c r="H2" s="382"/>
      <c r="I2" s="382"/>
      <c r="J2" s="382"/>
      <c r="K2" s="134"/>
      <c r="L2" s="17"/>
      <c r="M2" s="275" t="s">
        <v>896</v>
      </c>
      <c r="N2" s="275"/>
      <c r="O2" s="275"/>
      <c r="P2" s="275"/>
      <c r="Q2" s="275"/>
      <c r="R2" s="275"/>
      <c r="S2" s="275"/>
      <c r="T2" s="275"/>
      <c r="U2" s="275"/>
      <c r="V2" s="17"/>
      <c r="W2"/>
      <c r="X2"/>
      <c r="Y2"/>
      <c r="Z2"/>
    </row>
    <row r="3" spans="1:31" ht="14.1" customHeight="1" x14ac:dyDescent="0.15">
      <c r="A3" s="134"/>
      <c r="B3" s="382"/>
      <c r="C3" s="382"/>
      <c r="D3" s="382"/>
      <c r="E3" s="382"/>
      <c r="F3" s="382"/>
      <c r="G3" s="382"/>
      <c r="H3" s="382"/>
      <c r="I3" s="382"/>
      <c r="J3" s="382"/>
      <c r="K3" s="134"/>
      <c r="L3" s="17"/>
      <c r="M3" s="275"/>
      <c r="N3" s="275"/>
      <c r="O3" s="275"/>
      <c r="P3" s="275"/>
      <c r="Q3" s="275"/>
      <c r="R3" s="275"/>
      <c r="S3" s="275"/>
      <c r="T3" s="275"/>
      <c r="U3" s="275"/>
      <c r="V3" s="17"/>
      <c r="W3"/>
      <c r="X3"/>
      <c r="Y3"/>
      <c r="Z3"/>
    </row>
    <row r="4" spans="1:31" ht="14.1" customHeight="1" x14ac:dyDescent="0.15">
      <c r="A4" s="134"/>
      <c r="B4" s="383" t="s">
        <v>794</v>
      </c>
      <c r="C4" s="383"/>
      <c r="D4" s="384">
        <f>キャラシート!H27</f>
        <v>2</v>
      </c>
      <c r="E4" s="385" t="s">
        <v>897</v>
      </c>
      <c r="F4" s="385"/>
      <c r="G4" s="384">
        <f>ROUNDDOWN((キャラシート!H25)/2,0)</f>
        <v>3</v>
      </c>
      <c r="H4" s="385" t="s">
        <v>898</v>
      </c>
      <c r="I4" s="385"/>
      <c r="J4" s="386">
        <f>ROUNDDOWN((キャラシート!H25)/3,0)</f>
        <v>2</v>
      </c>
      <c r="K4" s="134"/>
      <c r="L4" s="17"/>
      <c r="M4" s="275"/>
      <c r="N4" s="275"/>
      <c r="O4" s="275"/>
      <c r="P4" s="275"/>
      <c r="Q4" s="275"/>
      <c r="R4" s="275"/>
      <c r="S4" s="275"/>
      <c r="T4" s="275"/>
      <c r="U4" s="275"/>
      <c r="V4" s="17"/>
    </row>
    <row r="5" spans="1:31" ht="14.1" customHeight="1" x14ac:dyDescent="0.15">
      <c r="A5" s="135"/>
      <c r="B5" s="383"/>
      <c r="C5" s="383"/>
      <c r="D5" s="384"/>
      <c r="E5" s="385"/>
      <c r="F5" s="385"/>
      <c r="G5" s="384"/>
      <c r="H5" s="385"/>
      <c r="I5" s="385"/>
      <c r="J5" s="386"/>
      <c r="K5" s="134"/>
      <c r="L5" s="17"/>
      <c r="M5" s="275"/>
      <c r="N5" s="275"/>
      <c r="O5" s="275"/>
      <c r="P5" s="275"/>
      <c r="Q5" s="275"/>
      <c r="R5" s="275"/>
      <c r="S5" s="275"/>
      <c r="T5" s="275"/>
      <c r="U5" s="275"/>
      <c r="V5" s="17"/>
    </row>
    <row r="6" spans="1:31" ht="14.1" customHeight="1" x14ac:dyDescent="0.15">
      <c r="A6" s="135"/>
      <c r="B6" s="135"/>
      <c r="C6" s="135"/>
      <c r="D6" s="135"/>
      <c r="E6" s="135"/>
      <c r="F6" s="135"/>
      <c r="G6" s="135"/>
      <c r="H6" s="135"/>
      <c r="I6" s="135"/>
      <c r="J6" s="135"/>
      <c r="K6" s="134"/>
      <c r="L6" s="17"/>
      <c r="M6" s="17"/>
      <c r="N6" s="17"/>
      <c r="O6" s="17"/>
      <c r="P6" s="17"/>
      <c r="Q6" s="17"/>
      <c r="R6" s="17"/>
      <c r="S6" s="17"/>
      <c r="T6" s="17"/>
      <c r="U6" s="17"/>
      <c r="V6" s="17"/>
    </row>
    <row r="7" spans="1:31" ht="14.1" customHeight="1" x14ac:dyDescent="0.15">
      <c r="A7" s="134"/>
      <c r="B7" s="134"/>
      <c r="C7" s="134"/>
      <c r="D7" s="134"/>
      <c r="E7" s="134"/>
      <c r="F7" s="134"/>
      <c r="G7" s="134"/>
      <c r="H7" s="134"/>
      <c r="I7" s="134"/>
      <c r="J7" s="134"/>
      <c r="K7" s="134"/>
      <c r="L7" s="17"/>
      <c r="M7" s="17"/>
      <c r="N7" s="17"/>
      <c r="O7" s="17"/>
      <c r="P7" s="17"/>
      <c r="Q7" s="17"/>
      <c r="R7" s="17"/>
      <c r="S7" s="17"/>
      <c r="T7" s="17"/>
      <c r="U7" s="17"/>
      <c r="V7" s="17"/>
    </row>
    <row r="8" spans="1:31" ht="14.1" customHeight="1" x14ac:dyDescent="0.15">
      <c r="A8" s="134"/>
      <c r="B8" s="379" t="s">
        <v>899</v>
      </c>
      <c r="C8" s="379"/>
      <c r="D8" s="379"/>
      <c r="E8" s="379"/>
      <c r="F8" s="379"/>
      <c r="G8" s="379"/>
      <c r="H8" s="136" t="s">
        <v>328</v>
      </c>
      <c r="I8" s="136" t="s">
        <v>900</v>
      </c>
      <c r="J8" s="137" t="s">
        <v>901</v>
      </c>
      <c r="K8" s="135"/>
      <c r="L8" s="17"/>
      <c r="M8" s="379" t="s">
        <v>899</v>
      </c>
      <c r="N8" s="379"/>
      <c r="O8" s="379"/>
      <c r="P8" s="379"/>
      <c r="Q8" s="379"/>
      <c r="R8" s="380" t="s">
        <v>902</v>
      </c>
      <c r="S8" s="380"/>
      <c r="T8" s="380"/>
      <c r="U8" s="138" t="s">
        <v>900</v>
      </c>
      <c r="V8" s="17"/>
      <c r="W8"/>
      <c r="X8"/>
      <c r="Y8"/>
      <c r="Z8"/>
      <c r="AA8"/>
      <c r="AB8"/>
      <c r="AC8"/>
      <c r="AD8"/>
      <c r="AE8"/>
    </row>
    <row r="9" spans="1:31" ht="14.1" customHeight="1" x14ac:dyDescent="0.15">
      <c r="A9" s="134"/>
      <c r="B9" s="373"/>
      <c r="C9" s="373"/>
      <c r="D9" s="373"/>
      <c r="E9" s="373"/>
      <c r="F9" s="373"/>
      <c r="G9" s="373"/>
      <c r="H9" s="374"/>
      <c r="I9" s="375"/>
      <c r="J9" s="376"/>
      <c r="K9" s="134"/>
      <c r="L9" s="17"/>
      <c r="M9" s="377" t="s">
        <v>965</v>
      </c>
      <c r="N9" s="377"/>
      <c r="O9" s="377"/>
      <c r="P9" s="377"/>
      <c r="Q9" s="377"/>
      <c r="R9" s="378" t="s">
        <v>968</v>
      </c>
      <c r="S9" s="378"/>
      <c r="T9" s="378"/>
      <c r="U9" s="366"/>
      <c r="V9" s="17"/>
      <c r="W9"/>
      <c r="X9"/>
      <c r="Y9"/>
      <c r="Z9"/>
      <c r="AA9"/>
      <c r="AB9"/>
      <c r="AC9"/>
      <c r="AD9"/>
      <c r="AE9"/>
    </row>
    <row r="10" spans="1:31" ht="14.1" customHeight="1" x14ac:dyDescent="0.15">
      <c r="A10" s="135"/>
      <c r="B10" s="373"/>
      <c r="C10" s="373"/>
      <c r="D10" s="373"/>
      <c r="E10" s="373"/>
      <c r="F10" s="373"/>
      <c r="G10" s="373"/>
      <c r="H10" s="374"/>
      <c r="I10" s="375"/>
      <c r="J10" s="376"/>
      <c r="K10" s="135"/>
      <c r="L10" s="17"/>
      <c r="M10" s="377"/>
      <c r="N10" s="377"/>
      <c r="O10" s="377"/>
      <c r="P10" s="377"/>
      <c r="Q10" s="377"/>
      <c r="R10" s="378"/>
      <c r="S10" s="378"/>
      <c r="T10" s="378"/>
      <c r="U10" s="366"/>
      <c r="V10" s="17"/>
    </row>
    <row r="11" spans="1:31" ht="14.1" customHeight="1" x14ac:dyDescent="0.15">
      <c r="A11" s="134"/>
      <c r="B11" s="367"/>
      <c r="C11" s="367"/>
      <c r="D11" s="367"/>
      <c r="E11" s="368"/>
      <c r="F11" s="368"/>
      <c r="G11" s="368"/>
      <c r="H11" s="369"/>
      <c r="I11" s="369"/>
      <c r="J11" s="369"/>
      <c r="K11" s="134"/>
      <c r="L11" s="17"/>
      <c r="M11" s="377"/>
      <c r="N11" s="377"/>
      <c r="O11" s="377"/>
      <c r="P11" s="377"/>
      <c r="Q11" s="377"/>
      <c r="R11" s="378"/>
      <c r="S11" s="378"/>
      <c r="T11" s="378"/>
      <c r="U11" s="366"/>
      <c r="V11" s="17"/>
    </row>
    <row r="12" spans="1:31" ht="14.1" customHeight="1" x14ac:dyDescent="0.15">
      <c r="A12" s="135"/>
      <c r="B12" s="370"/>
      <c r="C12" s="371"/>
      <c r="D12" s="371"/>
      <c r="E12" s="140"/>
      <c r="F12" s="140"/>
      <c r="G12" s="140"/>
      <c r="H12" s="140"/>
      <c r="I12" s="140"/>
      <c r="J12" s="141"/>
      <c r="K12" s="135"/>
      <c r="L12" s="17"/>
      <c r="M12" s="372" t="s">
        <v>903</v>
      </c>
      <c r="N12" s="372"/>
      <c r="O12" s="372"/>
      <c r="P12" s="372"/>
      <c r="Q12" s="372"/>
      <c r="R12" s="372"/>
      <c r="S12" s="372"/>
      <c r="T12" s="372"/>
      <c r="U12" s="372"/>
      <c r="V12" s="17"/>
    </row>
    <row r="13" spans="1:31" ht="14.1" customHeight="1" x14ac:dyDescent="0.15">
      <c r="A13" s="134"/>
      <c r="B13" s="370"/>
      <c r="C13" s="371"/>
      <c r="D13" s="371"/>
      <c r="E13" s="140"/>
      <c r="F13" s="140"/>
      <c r="G13" s="140"/>
      <c r="H13" s="140"/>
      <c r="I13" s="140"/>
      <c r="J13" s="141"/>
      <c r="K13" s="134"/>
      <c r="L13" s="17"/>
      <c r="M13" s="364" t="s">
        <v>969</v>
      </c>
      <c r="N13" s="364"/>
      <c r="O13" s="364"/>
      <c r="P13" s="364"/>
      <c r="Q13" s="364"/>
      <c r="R13" s="364"/>
      <c r="S13" s="364"/>
      <c r="T13" s="364"/>
      <c r="U13" s="364"/>
      <c r="V13" s="17"/>
    </row>
    <row r="14" spans="1:31" ht="14.1" customHeight="1" x14ac:dyDescent="0.15">
      <c r="A14" s="135"/>
      <c r="B14" s="372"/>
      <c r="C14" s="372"/>
      <c r="D14" s="372"/>
      <c r="E14" s="372"/>
      <c r="F14" s="372"/>
      <c r="G14" s="372"/>
      <c r="H14" s="372"/>
      <c r="I14" s="372"/>
      <c r="J14" s="372"/>
      <c r="K14" s="135"/>
      <c r="L14" s="17"/>
      <c r="M14" s="364"/>
      <c r="N14" s="364"/>
      <c r="O14" s="364"/>
      <c r="P14" s="364"/>
      <c r="Q14" s="364"/>
      <c r="R14" s="364"/>
      <c r="S14" s="364"/>
      <c r="T14" s="364"/>
      <c r="U14" s="364"/>
      <c r="V14" s="17"/>
    </row>
    <row r="15" spans="1:31" ht="14.1" customHeight="1" x14ac:dyDescent="0.15">
      <c r="A15" s="134"/>
      <c r="B15" s="364"/>
      <c r="C15" s="364"/>
      <c r="D15" s="364"/>
      <c r="E15" s="364"/>
      <c r="F15" s="364"/>
      <c r="G15" s="364"/>
      <c r="H15" s="364"/>
      <c r="I15" s="364"/>
      <c r="J15" s="364"/>
      <c r="K15" s="134"/>
      <c r="L15" s="17"/>
      <c r="M15" s="364"/>
      <c r="N15" s="364"/>
      <c r="O15" s="364"/>
      <c r="P15" s="364"/>
      <c r="Q15" s="364"/>
      <c r="R15" s="364"/>
      <c r="S15" s="364"/>
      <c r="T15" s="364"/>
      <c r="U15" s="364"/>
      <c r="V15" s="17"/>
    </row>
    <row r="16" spans="1:31" ht="14.1" customHeight="1" x14ac:dyDescent="0.15">
      <c r="A16" s="135"/>
      <c r="B16" s="364"/>
      <c r="C16" s="364"/>
      <c r="D16" s="364"/>
      <c r="E16" s="364"/>
      <c r="F16" s="364"/>
      <c r="G16" s="364"/>
      <c r="H16" s="364"/>
      <c r="I16" s="364"/>
      <c r="J16" s="364"/>
      <c r="K16" s="135"/>
      <c r="L16" s="17"/>
      <c r="M16" s="364"/>
      <c r="N16" s="364"/>
      <c r="O16" s="364"/>
      <c r="P16" s="364"/>
      <c r="Q16" s="364"/>
      <c r="R16" s="364"/>
      <c r="S16" s="364"/>
      <c r="T16" s="364"/>
      <c r="U16" s="364"/>
      <c r="V16" s="17"/>
    </row>
    <row r="17" spans="1:26" ht="14.1" customHeight="1" x14ac:dyDescent="0.15">
      <c r="A17" s="135"/>
      <c r="B17" s="365"/>
      <c r="C17" s="365"/>
      <c r="D17" s="365"/>
      <c r="E17" s="365"/>
      <c r="F17" s="365"/>
      <c r="G17" s="365"/>
      <c r="H17" s="365"/>
      <c r="I17" s="365"/>
      <c r="J17" s="365"/>
      <c r="K17" s="134"/>
      <c r="L17" s="17"/>
      <c r="M17" s="365" t="s">
        <v>905</v>
      </c>
      <c r="N17" s="365"/>
      <c r="O17" s="365"/>
      <c r="P17" s="365"/>
      <c r="Q17" s="365"/>
      <c r="R17" s="365"/>
      <c r="S17" s="365"/>
      <c r="T17" s="365"/>
      <c r="U17" s="365"/>
      <c r="V17" s="17"/>
    </row>
    <row r="18" spans="1:26" ht="14.1" customHeight="1" x14ac:dyDescent="0.15">
      <c r="A18" s="134"/>
      <c r="B18" s="134"/>
      <c r="C18" s="134"/>
      <c r="D18" s="134"/>
      <c r="E18" s="134"/>
      <c r="F18" s="134"/>
      <c r="G18" s="134"/>
      <c r="H18" s="134"/>
      <c r="I18" s="134"/>
      <c r="J18" s="134"/>
      <c r="K18" s="135"/>
      <c r="L18" s="17"/>
      <c r="M18" s="17"/>
      <c r="N18" s="17"/>
      <c r="O18" s="17"/>
      <c r="P18" s="17"/>
      <c r="Q18" s="17"/>
      <c r="R18" s="17"/>
      <c r="S18" s="17"/>
      <c r="T18" s="17"/>
      <c r="U18" s="17"/>
      <c r="V18" s="17"/>
    </row>
    <row r="19" spans="1:26" ht="14.1" customHeight="1" x14ac:dyDescent="0.15">
      <c r="A19" s="135"/>
      <c r="B19" s="379" t="s">
        <v>899</v>
      </c>
      <c r="C19" s="379"/>
      <c r="D19" s="379"/>
      <c r="E19" s="379"/>
      <c r="F19" s="379"/>
      <c r="G19" s="379"/>
      <c r="H19" s="136" t="s">
        <v>328</v>
      </c>
      <c r="I19" s="136" t="s">
        <v>900</v>
      </c>
      <c r="J19" s="137" t="s">
        <v>901</v>
      </c>
      <c r="K19" s="135"/>
      <c r="L19" s="17"/>
      <c r="M19" s="379" t="s">
        <v>899</v>
      </c>
      <c r="N19" s="379"/>
      <c r="O19" s="379"/>
      <c r="P19" s="379"/>
      <c r="Q19" s="379"/>
      <c r="R19" s="380" t="s">
        <v>902</v>
      </c>
      <c r="S19" s="380"/>
      <c r="T19" s="380"/>
      <c r="U19" s="138" t="s">
        <v>900</v>
      </c>
      <c r="V19" s="17"/>
    </row>
    <row r="20" spans="1:26" ht="14.1" customHeight="1" x14ac:dyDescent="0.15">
      <c r="A20" s="134"/>
      <c r="B20" s="373"/>
      <c r="C20" s="373"/>
      <c r="D20" s="373"/>
      <c r="E20" s="373"/>
      <c r="F20" s="373"/>
      <c r="G20" s="373"/>
      <c r="H20" s="374"/>
      <c r="I20" s="375"/>
      <c r="J20" s="376"/>
      <c r="K20" s="134"/>
      <c r="L20" s="17"/>
      <c r="M20" s="377" t="s">
        <v>967</v>
      </c>
      <c r="N20" s="377"/>
      <c r="O20" s="377"/>
      <c r="P20" s="377"/>
      <c r="Q20" s="377"/>
      <c r="R20" s="378" t="s">
        <v>605</v>
      </c>
      <c r="S20" s="378"/>
      <c r="T20" s="378"/>
      <c r="U20" s="381">
        <v>0.02</v>
      </c>
      <c r="V20" s="17"/>
      <c r="W20"/>
      <c r="X20"/>
      <c r="Y20"/>
      <c r="Z20"/>
    </row>
    <row r="21" spans="1:26" ht="14.1" customHeight="1" x14ac:dyDescent="0.15">
      <c r="A21" s="135"/>
      <c r="B21" s="373"/>
      <c r="C21" s="373"/>
      <c r="D21" s="373"/>
      <c r="E21" s="373"/>
      <c r="F21" s="373"/>
      <c r="G21" s="373"/>
      <c r="H21" s="374"/>
      <c r="I21" s="375"/>
      <c r="J21" s="376"/>
      <c r="K21" s="135"/>
      <c r="L21" s="17"/>
      <c r="M21" s="377"/>
      <c r="N21" s="377"/>
      <c r="O21" s="377"/>
      <c r="P21" s="377"/>
      <c r="Q21" s="377"/>
      <c r="R21" s="378"/>
      <c r="S21" s="378"/>
      <c r="T21" s="378"/>
      <c r="U21" s="366"/>
      <c r="V21" s="17"/>
      <c r="W21"/>
      <c r="X21"/>
      <c r="Y21"/>
      <c r="Z21"/>
    </row>
    <row r="22" spans="1:26" ht="14.1" customHeight="1" x14ac:dyDescent="0.15">
      <c r="A22" s="134"/>
      <c r="B22" s="367"/>
      <c r="C22" s="367"/>
      <c r="D22" s="367"/>
      <c r="E22" s="368"/>
      <c r="F22" s="368"/>
      <c r="G22" s="368"/>
      <c r="H22" s="369"/>
      <c r="I22" s="369"/>
      <c r="J22" s="369"/>
      <c r="K22" s="134"/>
      <c r="L22" s="17"/>
      <c r="M22" s="377"/>
      <c r="N22" s="377"/>
      <c r="O22" s="377"/>
      <c r="P22" s="377"/>
      <c r="Q22" s="377"/>
      <c r="R22" s="378"/>
      <c r="S22" s="378"/>
      <c r="T22" s="378"/>
      <c r="U22" s="366"/>
      <c r="V22" s="17"/>
      <c r="W22"/>
      <c r="X22"/>
      <c r="Y22"/>
      <c r="Z22"/>
    </row>
    <row r="23" spans="1:26" ht="14.1" customHeight="1" x14ac:dyDescent="0.15">
      <c r="A23" s="135"/>
      <c r="B23" s="370"/>
      <c r="C23" s="371"/>
      <c r="D23" s="371"/>
      <c r="E23" s="140"/>
      <c r="F23" s="140"/>
      <c r="G23" s="140"/>
      <c r="H23" s="140"/>
      <c r="I23" s="140"/>
      <c r="J23" s="141"/>
      <c r="K23" s="135"/>
      <c r="L23" s="17"/>
      <c r="M23" s="372" t="s">
        <v>903</v>
      </c>
      <c r="N23" s="372"/>
      <c r="O23" s="372"/>
      <c r="P23" s="372"/>
      <c r="Q23" s="372"/>
      <c r="R23" s="372"/>
      <c r="S23" s="372"/>
      <c r="T23" s="372"/>
      <c r="U23" s="372"/>
      <c r="V23" s="17"/>
      <c r="W23"/>
      <c r="X23"/>
      <c r="Y23"/>
      <c r="Z23"/>
    </row>
    <row r="24" spans="1:26" ht="14.1" customHeight="1" x14ac:dyDescent="0.15">
      <c r="A24" s="134"/>
      <c r="B24" s="370"/>
      <c r="C24" s="371"/>
      <c r="D24" s="371"/>
      <c r="E24" s="140"/>
      <c r="F24" s="140"/>
      <c r="G24" s="140"/>
      <c r="H24" s="140"/>
      <c r="I24" s="140"/>
      <c r="J24" s="141"/>
      <c r="K24" s="134"/>
      <c r="L24" s="17"/>
      <c r="M24" s="364" t="s">
        <v>970</v>
      </c>
      <c r="N24" s="364"/>
      <c r="O24" s="364"/>
      <c r="P24" s="364"/>
      <c r="Q24" s="364"/>
      <c r="R24" s="364"/>
      <c r="S24" s="364"/>
      <c r="T24" s="364"/>
      <c r="U24" s="364"/>
      <c r="V24" s="17"/>
      <c r="W24"/>
      <c r="X24"/>
      <c r="Y24"/>
      <c r="Z24"/>
    </row>
    <row r="25" spans="1:26" ht="14.1" customHeight="1" x14ac:dyDescent="0.15">
      <c r="A25" s="135"/>
      <c r="B25" s="372"/>
      <c r="C25" s="372"/>
      <c r="D25" s="372"/>
      <c r="E25" s="372"/>
      <c r="F25" s="372"/>
      <c r="G25" s="372"/>
      <c r="H25" s="372"/>
      <c r="I25" s="372"/>
      <c r="J25" s="372"/>
      <c r="K25" s="135"/>
      <c r="L25" s="17"/>
      <c r="M25" s="364"/>
      <c r="N25" s="364"/>
      <c r="O25" s="364"/>
      <c r="P25" s="364"/>
      <c r="Q25" s="364"/>
      <c r="R25" s="364"/>
      <c r="S25" s="364"/>
      <c r="T25" s="364"/>
      <c r="U25" s="364"/>
      <c r="V25" s="17"/>
    </row>
    <row r="26" spans="1:26" ht="14.1" customHeight="1" x14ac:dyDescent="0.15">
      <c r="A26" s="134"/>
      <c r="B26" s="364"/>
      <c r="C26" s="364"/>
      <c r="D26" s="364"/>
      <c r="E26" s="364"/>
      <c r="F26" s="364"/>
      <c r="G26" s="364"/>
      <c r="H26" s="364"/>
      <c r="I26" s="364"/>
      <c r="J26" s="364"/>
      <c r="K26" s="134"/>
      <c r="L26" s="17"/>
      <c r="M26" s="364"/>
      <c r="N26" s="364"/>
      <c r="O26" s="364"/>
      <c r="P26" s="364"/>
      <c r="Q26" s="364"/>
      <c r="R26" s="364"/>
      <c r="S26" s="364"/>
      <c r="T26" s="364"/>
      <c r="U26" s="364"/>
      <c r="V26" s="17"/>
    </row>
    <row r="27" spans="1:26" ht="14.1" customHeight="1" x14ac:dyDescent="0.15">
      <c r="A27" s="135"/>
      <c r="B27" s="364"/>
      <c r="C27" s="364"/>
      <c r="D27" s="364"/>
      <c r="E27" s="364"/>
      <c r="F27" s="364"/>
      <c r="G27" s="364"/>
      <c r="H27" s="364"/>
      <c r="I27" s="364"/>
      <c r="J27" s="364"/>
      <c r="K27" s="135"/>
      <c r="L27" s="17"/>
      <c r="M27" s="364"/>
      <c r="N27" s="364"/>
      <c r="O27" s="364"/>
      <c r="P27" s="364"/>
      <c r="Q27" s="364"/>
      <c r="R27" s="364"/>
      <c r="S27" s="364"/>
      <c r="T27" s="364"/>
      <c r="U27" s="364"/>
      <c r="V27" s="17"/>
    </row>
    <row r="28" spans="1:26" ht="14.1" customHeight="1" x14ac:dyDescent="0.15">
      <c r="A28" s="134"/>
      <c r="B28" s="365"/>
      <c r="C28" s="365"/>
      <c r="D28" s="365"/>
      <c r="E28" s="365"/>
      <c r="F28" s="365"/>
      <c r="G28" s="365"/>
      <c r="H28" s="365"/>
      <c r="I28" s="365"/>
      <c r="J28" s="365"/>
      <c r="K28" s="134"/>
      <c r="L28" s="17"/>
      <c r="M28" s="365" t="s">
        <v>905</v>
      </c>
      <c r="N28" s="365"/>
      <c r="O28" s="365"/>
      <c r="P28" s="365"/>
      <c r="Q28" s="365"/>
      <c r="R28" s="365"/>
      <c r="S28" s="365"/>
      <c r="T28" s="365"/>
      <c r="U28" s="365"/>
      <c r="V28" s="17"/>
    </row>
    <row r="29" spans="1:26" ht="14.1" customHeight="1" x14ac:dyDescent="0.15">
      <c r="A29" s="135"/>
      <c r="B29" s="135"/>
      <c r="C29" s="135"/>
      <c r="D29" s="135"/>
      <c r="E29" s="135"/>
      <c r="F29" s="135"/>
      <c r="G29" s="135"/>
      <c r="H29" s="135"/>
      <c r="I29" s="135"/>
      <c r="J29" s="135"/>
      <c r="K29" s="134"/>
      <c r="L29" s="17"/>
      <c r="M29" s="17"/>
      <c r="N29" s="17"/>
      <c r="O29" s="17"/>
      <c r="P29" s="17"/>
      <c r="Q29" s="17"/>
      <c r="R29" s="17"/>
      <c r="S29" s="17"/>
      <c r="T29" s="17"/>
      <c r="U29" s="17"/>
      <c r="V29" s="17"/>
    </row>
    <row r="30" spans="1:26" ht="14.1" customHeight="1" x14ac:dyDescent="0.15">
      <c r="A30" s="134"/>
      <c r="B30" s="379" t="s">
        <v>899</v>
      </c>
      <c r="C30" s="379"/>
      <c r="D30" s="379"/>
      <c r="E30" s="379"/>
      <c r="F30" s="379"/>
      <c r="G30" s="379"/>
      <c r="H30" s="136" t="s">
        <v>328</v>
      </c>
      <c r="I30" s="136" t="s">
        <v>900</v>
      </c>
      <c r="J30" s="137" t="s">
        <v>901</v>
      </c>
      <c r="K30" s="135"/>
      <c r="L30" s="17"/>
      <c r="M30" s="379" t="s">
        <v>899</v>
      </c>
      <c r="N30" s="379"/>
      <c r="O30" s="379"/>
      <c r="P30" s="379"/>
      <c r="Q30" s="379"/>
      <c r="R30" s="380" t="s">
        <v>902</v>
      </c>
      <c r="S30" s="380"/>
      <c r="T30" s="380"/>
      <c r="U30" s="138" t="s">
        <v>900</v>
      </c>
      <c r="V30" s="17"/>
    </row>
    <row r="31" spans="1:26" ht="14.1" customHeight="1" x14ac:dyDescent="0.15">
      <c r="A31" s="135"/>
      <c r="B31" s="373"/>
      <c r="C31" s="373"/>
      <c r="D31" s="373"/>
      <c r="E31" s="373"/>
      <c r="F31" s="373"/>
      <c r="G31" s="373"/>
      <c r="H31" s="374"/>
      <c r="I31" s="375"/>
      <c r="J31" s="376"/>
      <c r="K31" s="134"/>
      <c r="L31" s="17"/>
      <c r="M31" s="377"/>
      <c r="N31" s="377"/>
      <c r="O31" s="377"/>
      <c r="P31" s="377"/>
      <c r="Q31" s="377"/>
      <c r="R31" s="378" t="s">
        <v>19</v>
      </c>
      <c r="S31" s="378"/>
      <c r="T31" s="378"/>
      <c r="U31" s="366"/>
      <c r="V31" s="17"/>
      <c r="W31"/>
      <c r="X31"/>
      <c r="Y31"/>
      <c r="Z31"/>
    </row>
    <row r="32" spans="1:26" ht="14.1" customHeight="1" x14ac:dyDescent="0.15">
      <c r="A32" s="134"/>
      <c r="B32" s="373"/>
      <c r="C32" s="373"/>
      <c r="D32" s="373"/>
      <c r="E32" s="373"/>
      <c r="F32" s="373"/>
      <c r="G32" s="373"/>
      <c r="H32" s="374"/>
      <c r="I32" s="375"/>
      <c r="J32" s="376"/>
      <c r="K32" s="135"/>
      <c r="L32" s="17"/>
      <c r="M32" s="377"/>
      <c r="N32" s="377"/>
      <c r="O32" s="377"/>
      <c r="P32" s="377"/>
      <c r="Q32" s="377"/>
      <c r="R32" s="378"/>
      <c r="S32" s="378"/>
      <c r="T32" s="378"/>
      <c r="U32" s="366"/>
      <c r="V32" s="17"/>
      <c r="W32"/>
      <c r="X32"/>
      <c r="Y32"/>
      <c r="Z32"/>
    </row>
    <row r="33" spans="1:22" ht="14.1" customHeight="1" x14ac:dyDescent="0.15">
      <c r="A33" s="135"/>
      <c r="B33" s="367"/>
      <c r="C33" s="367"/>
      <c r="D33" s="367"/>
      <c r="E33" s="368"/>
      <c r="F33" s="368"/>
      <c r="G33" s="368"/>
      <c r="H33" s="369"/>
      <c r="I33" s="369"/>
      <c r="J33" s="369"/>
      <c r="K33" s="134"/>
      <c r="L33" s="17"/>
      <c r="M33" s="377"/>
      <c r="N33" s="377"/>
      <c r="O33" s="377"/>
      <c r="P33" s="377"/>
      <c r="Q33" s="377"/>
      <c r="R33" s="378"/>
      <c r="S33" s="378"/>
      <c r="T33" s="378"/>
      <c r="U33" s="366"/>
      <c r="V33" s="17"/>
    </row>
    <row r="34" spans="1:22" ht="14.1" customHeight="1" x14ac:dyDescent="0.15">
      <c r="A34" s="134"/>
      <c r="B34" s="370"/>
      <c r="C34" s="371"/>
      <c r="D34" s="371"/>
      <c r="E34" s="140"/>
      <c r="F34" s="140"/>
      <c r="G34" s="140"/>
      <c r="H34" s="140"/>
      <c r="I34" s="140"/>
      <c r="J34" s="141"/>
      <c r="K34" s="135"/>
      <c r="L34" s="17"/>
      <c r="M34" s="372" t="s">
        <v>903</v>
      </c>
      <c r="N34" s="372"/>
      <c r="O34" s="372"/>
      <c r="P34" s="372"/>
      <c r="Q34" s="372"/>
      <c r="R34" s="372"/>
      <c r="S34" s="372"/>
      <c r="T34" s="372"/>
      <c r="U34" s="372"/>
      <c r="V34" s="17"/>
    </row>
    <row r="35" spans="1:22" ht="14.1" customHeight="1" x14ac:dyDescent="0.15">
      <c r="A35" s="135"/>
      <c r="B35" s="370"/>
      <c r="C35" s="371"/>
      <c r="D35" s="371"/>
      <c r="E35" s="140"/>
      <c r="F35" s="140"/>
      <c r="G35" s="140"/>
      <c r="H35" s="140"/>
      <c r="I35" s="140"/>
      <c r="J35" s="141"/>
      <c r="K35" s="134"/>
      <c r="L35" s="17"/>
      <c r="M35" s="364"/>
      <c r="N35" s="364"/>
      <c r="O35" s="364"/>
      <c r="P35" s="364"/>
      <c r="Q35" s="364"/>
      <c r="R35" s="364"/>
      <c r="S35" s="364"/>
      <c r="T35" s="364"/>
      <c r="U35" s="364"/>
      <c r="V35" s="17"/>
    </row>
    <row r="36" spans="1:22" ht="14.1" customHeight="1" x14ac:dyDescent="0.15">
      <c r="A36" s="134"/>
      <c r="B36" s="372"/>
      <c r="C36" s="372"/>
      <c r="D36" s="372"/>
      <c r="E36" s="372"/>
      <c r="F36" s="372"/>
      <c r="G36" s="372"/>
      <c r="H36" s="372"/>
      <c r="I36" s="372"/>
      <c r="J36" s="372"/>
      <c r="K36" s="135"/>
      <c r="L36" s="17"/>
      <c r="M36" s="364"/>
      <c r="N36" s="364"/>
      <c r="O36" s="364"/>
      <c r="P36" s="364"/>
      <c r="Q36" s="364"/>
      <c r="R36" s="364"/>
      <c r="S36" s="364"/>
      <c r="T36" s="364"/>
      <c r="U36" s="364"/>
      <c r="V36" s="17"/>
    </row>
    <row r="37" spans="1:22" ht="14.1" customHeight="1" x14ac:dyDescent="0.15">
      <c r="A37" s="135"/>
      <c r="B37" s="364"/>
      <c r="C37" s="364"/>
      <c r="D37" s="364"/>
      <c r="E37" s="364"/>
      <c r="F37" s="364"/>
      <c r="G37" s="364"/>
      <c r="H37" s="364"/>
      <c r="I37" s="364"/>
      <c r="J37" s="364"/>
      <c r="K37" s="134"/>
      <c r="L37" s="17"/>
      <c r="M37" s="364"/>
      <c r="N37" s="364"/>
      <c r="O37" s="364"/>
      <c r="P37" s="364"/>
      <c r="Q37" s="364"/>
      <c r="R37" s="364"/>
      <c r="S37" s="364"/>
      <c r="T37" s="364"/>
      <c r="U37" s="364"/>
      <c r="V37" s="17"/>
    </row>
    <row r="38" spans="1:22" ht="14.1" customHeight="1" x14ac:dyDescent="0.15">
      <c r="A38" s="134"/>
      <c r="B38" s="364"/>
      <c r="C38" s="364"/>
      <c r="D38" s="364"/>
      <c r="E38" s="364"/>
      <c r="F38" s="364"/>
      <c r="G38" s="364"/>
      <c r="H38" s="364"/>
      <c r="I38" s="364"/>
      <c r="J38" s="364"/>
      <c r="K38" s="135"/>
      <c r="L38" s="17"/>
      <c r="M38" s="364"/>
      <c r="N38" s="364"/>
      <c r="O38" s="364"/>
      <c r="P38" s="364"/>
      <c r="Q38" s="364"/>
      <c r="R38" s="364"/>
      <c r="S38" s="364"/>
      <c r="T38" s="364"/>
      <c r="U38" s="364"/>
      <c r="V38" s="17"/>
    </row>
    <row r="39" spans="1:22" ht="14.1" customHeight="1" x14ac:dyDescent="0.15">
      <c r="A39" s="135"/>
      <c r="B39" s="365"/>
      <c r="C39" s="365"/>
      <c r="D39" s="365"/>
      <c r="E39" s="365"/>
      <c r="F39" s="365"/>
      <c r="G39" s="365"/>
      <c r="H39" s="365"/>
      <c r="I39" s="365"/>
      <c r="J39" s="365"/>
      <c r="K39" s="134"/>
      <c r="L39" s="17"/>
      <c r="M39" s="365" t="s">
        <v>905</v>
      </c>
      <c r="N39" s="365"/>
      <c r="O39" s="365"/>
      <c r="P39" s="365"/>
      <c r="Q39" s="365"/>
      <c r="R39" s="365"/>
      <c r="S39" s="365"/>
      <c r="T39" s="365"/>
      <c r="U39" s="365"/>
      <c r="V39" s="17"/>
    </row>
    <row r="40" spans="1:22" ht="14.1" customHeight="1" x14ac:dyDescent="0.15">
      <c r="A40" s="134"/>
      <c r="B40" s="134"/>
      <c r="C40" s="134"/>
      <c r="D40" s="134"/>
      <c r="E40" s="134"/>
      <c r="F40" s="134"/>
      <c r="G40" s="134"/>
      <c r="H40" s="134"/>
      <c r="I40" s="134"/>
      <c r="J40" s="134"/>
      <c r="K40" s="135"/>
      <c r="L40" s="17"/>
      <c r="M40" s="17"/>
      <c r="N40" s="17"/>
      <c r="O40" s="17"/>
      <c r="P40" s="17"/>
      <c r="Q40" s="17"/>
      <c r="R40" s="17"/>
      <c r="S40" s="17"/>
      <c r="T40" s="17"/>
      <c r="U40" s="17"/>
      <c r="V40" s="17"/>
    </row>
    <row r="41" spans="1:22" ht="14.1" customHeight="1" x14ac:dyDescent="0.15">
      <c r="A41" s="135"/>
      <c r="B41" s="379" t="s">
        <v>899</v>
      </c>
      <c r="C41" s="379"/>
      <c r="D41" s="379"/>
      <c r="E41" s="379"/>
      <c r="F41" s="379"/>
      <c r="G41" s="379"/>
      <c r="H41" s="136" t="s">
        <v>328</v>
      </c>
      <c r="I41" s="136" t="s">
        <v>900</v>
      </c>
      <c r="J41" s="137" t="s">
        <v>901</v>
      </c>
      <c r="K41" s="135"/>
      <c r="L41" s="17"/>
      <c r="M41" s="379" t="s">
        <v>899</v>
      </c>
      <c r="N41" s="379"/>
      <c r="O41" s="379"/>
      <c r="P41" s="379"/>
      <c r="Q41" s="379"/>
      <c r="R41" s="380" t="s">
        <v>902</v>
      </c>
      <c r="S41" s="380"/>
      <c r="T41" s="380"/>
      <c r="U41" s="138" t="s">
        <v>900</v>
      </c>
      <c r="V41" s="17"/>
    </row>
    <row r="42" spans="1:22" ht="14.1" customHeight="1" x14ac:dyDescent="0.15">
      <c r="A42" s="134"/>
      <c r="B42" s="373"/>
      <c r="C42" s="373"/>
      <c r="D42" s="373"/>
      <c r="E42" s="373"/>
      <c r="F42" s="373"/>
      <c r="G42" s="373"/>
      <c r="H42" s="374"/>
      <c r="I42" s="375"/>
      <c r="J42" s="376"/>
      <c r="K42" s="134"/>
      <c r="L42" s="17"/>
      <c r="M42" s="377"/>
      <c r="N42" s="377"/>
      <c r="O42" s="377"/>
      <c r="P42" s="377"/>
      <c r="Q42" s="377"/>
      <c r="R42" s="378" t="s">
        <v>19</v>
      </c>
      <c r="S42" s="378"/>
      <c r="T42" s="378"/>
      <c r="U42" s="366"/>
      <c r="V42" s="17"/>
    </row>
    <row r="43" spans="1:22" ht="14.1" customHeight="1" x14ac:dyDescent="0.15">
      <c r="A43" s="135"/>
      <c r="B43" s="373"/>
      <c r="C43" s="373"/>
      <c r="D43" s="373"/>
      <c r="E43" s="373"/>
      <c r="F43" s="373"/>
      <c r="G43" s="373"/>
      <c r="H43" s="374"/>
      <c r="I43" s="375"/>
      <c r="J43" s="376"/>
      <c r="K43" s="135"/>
      <c r="L43" s="17"/>
      <c r="M43" s="377"/>
      <c r="N43" s="377"/>
      <c r="O43" s="377"/>
      <c r="P43" s="377"/>
      <c r="Q43" s="377"/>
      <c r="R43" s="378"/>
      <c r="S43" s="378"/>
      <c r="T43" s="378"/>
      <c r="U43" s="366"/>
      <c r="V43" s="17"/>
    </row>
    <row r="44" spans="1:22" ht="14.1" customHeight="1" x14ac:dyDescent="0.15">
      <c r="A44" s="134"/>
      <c r="B44" s="367"/>
      <c r="C44" s="367"/>
      <c r="D44" s="367"/>
      <c r="E44" s="368"/>
      <c r="F44" s="368"/>
      <c r="G44" s="368"/>
      <c r="H44" s="369"/>
      <c r="I44" s="369"/>
      <c r="J44" s="369"/>
      <c r="K44" s="134"/>
      <c r="L44" s="17"/>
      <c r="M44" s="377"/>
      <c r="N44" s="377"/>
      <c r="O44" s="377"/>
      <c r="P44" s="377"/>
      <c r="Q44" s="377"/>
      <c r="R44" s="378"/>
      <c r="S44" s="378"/>
      <c r="T44" s="378"/>
      <c r="U44" s="366"/>
      <c r="V44" s="17"/>
    </row>
    <row r="45" spans="1:22" ht="14.1" customHeight="1" x14ac:dyDescent="0.15">
      <c r="A45" s="135"/>
      <c r="B45" s="370"/>
      <c r="C45" s="371"/>
      <c r="D45" s="371"/>
      <c r="E45" s="140"/>
      <c r="F45" s="140"/>
      <c r="G45" s="140"/>
      <c r="H45" s="140"/>
      <c r="I45" s="140"/>
      <c r="J45" s="141"/>
      <c r="K45" s="135"/>
      <c r="L45" s="17"/>
      <c r="M45" s="372" t="s">
        <v>903</v>
      </c>
      <c r="N45" s="372"/>
      <c r="O45" s="372"/>
      <c r="P45" s="372"/>
      <c r="Q45" s="372"/>
      <c r="R45" s="372"/>
      <c r="S45" s="372"/>
      <c r="T45" s="372"/>
      <c r="U45" s="372"/>
      <c r="V45" s="17"/>
    </row>
    <row r="46" spans="1:22" ht="14.1" customHeight="1" x14ac:dyDescent="0.15">
      <c r="A46" s="134"/>
      <c r="B46" s="370"/>
      <c r="C46" s="371"/>
      <c r="D46" s="371"/>
      <c r="E46" s="140"/>
      <c r="F46" s="140"/>
      <c r="G46" s="140"/>
      <c r="H46" s="140"/>
      <c r="I46" s="140"/>
      <c r="J46" s="141"/>
      <c r="K46" s="134"/>
      <c r="L46" s="17"/>
      <c r="M46" s="364"/>
      <c r="N46" s="364"/>
      <c r="O46" s="364"/>
      <c r="P46" s="364"/>
      <c r="Q46" s="364"/>
      <c r="R46" s="364"/>
      <c r="S46" s="364"/>
      <c r="T46" s="364"/>
      <c r="U46" s="364"/>
      <c r="V46" s="17"/>
    </row>
    <row r="47" spans="1:22" ht="14.1" customHeight="1" x14ac:dyDescent="0.15">
      <c r="A47" s="135"/>
      <c r="B47" s="372"/>
      <c r="C47" s="372"/>
      <c r="D47" s="372"/>
      <c r="E47" s="372"/>
      <c r="F47" s="372"/>
      <c r="G47" s="372"/>
      <c r="H47" s="372"/>
      <c r="I47" s="372"/>
      <c r="J47" s="372"/>
      <c r="K47" s="135"/>
      <c r="L47" s="17"/>
      <c r="M47" s="364"/>
      <c r="N47" s="364"/>
      <c r="O47" s="364"/>
      <c r="P47" s="364"/>
      <c r="Q47" s="364"/>
      <c r="R47" s="364"/>
      <c r="S47" s="364"/>
      <c r="T47" s="364"/>
      <c r="U47" s="364"/>
      <c r="V47" s="17"/>
    </row>
    <row r="48" spans="1:22" ht="14.1" customHeight="1" x14ac:dyDescent="0.15">
      <c r="A48" s="134"/>
      <c r="B48" s="364"/>
      <c r="C48" s="364"/>
      <c r="D48" s="364"/>
      <c r="E48" s="364"/>
      <c r="F48" s="364"/>
      <c r="G48" s="364"/>
      <c r="H48" s="364"/>
      <c r="I48" s="364"/>
      <c r="J48" s="364"/>
      <c r="K48" s="134"/>
      <c r="L48" s="17"/>
      <c r="M48" s="364"/>
      <c r="N48" s="364"/>
      <c r="O48" s="364"/>
      <c r="P48" s="364"/>
      <c r="Q48" s="364"/>
      <c r="R48" s="364"/>
      <c r="S48" s="364"/>
      <c r="T48" s="364"/>
      <c r="U48" s="364"/>
      <c r="V48" s="17"/>
    </row>
    <row r="49" spans="1:32" ht="14.1" customHeight="1" x14ac:dyDescent="0.15">
      <c r="A49" s="135"/>
      <c r="B49" s="364"/>
      <c r="C49" s="364"/>
      <c r="D49" s="364"/>
      <c r="E49" s="364"/>
      <c r="F49" s="364"/>
      <c r="G49" s="364"/>
      <c r="H49" s="364"/>
      <c r="I49" s="364"/>
      <c r="J49" s="364"/>
      <c r="K49" s="135"/>
      <c r="L49" s="17"/>
      <c r="M49" s="364"/>
      <c r="N49" s="364"/>
      <c r="O49" s="364"/>
      <c r="P49" s="364"/>
      <c r="Q49" s="364"/>
      <c r="R49" s="364"/>
      <c r="S49" s="364"/>
      <c r="T49" s="364"/>
      <c r="U49" s="364"/>
      <c r="V49" s="17"/>
    </row>
    <row r="50" spans="1:32" ht="14.1" customHeight="1" x14ac:dyDescent="0.15">
      <c r="A50" s="134"/>
      <c r="B50" s="365"/>
      <c r="C50" s="365"/>
      <c r="D50" s="365"/>
      <c r="E50" s="365"/>
      <c r="F50" s="365"/>
      <c r="G50" s="365"/>
      <c r="H50" s="365"/>
      <c r="I50" s="365"/>
      <c r="J50" s="365"/>
      <c r="K50" s="134"/>
      <c r="L50" s="17"/>
      <c r="M50" s="365" t="s">
        <v>905</v>
      </c>
      <c r="N50" s="365"/>
      <c r="O50" s="365"/>
      <c r="P50" s="365"/>
      <c r="Q50" s="365"/>
      <c r="R50" s="365"/>
      <c r="S50" s="365"/>
      <c r="T50" s="365"/>
      <c r="U50" s="365"/>
      <c r="V50" s="17"/>
    </row>
    <row r="51" spans="1:32" ht="14.1" customHeight="1" x14ac:dyDescent="0.15">
      <c r="A51" s="135"/>
      <c r="B51" s="135"/>
      <c r="C51" s="135"/>
      <c r="D51" s="135"/>
      <c r="E51" s="135"/>
      <c r="F51" s="135"/>
      <c r="G51" s="135"/>
      <c r="H51" s="135"/>
      <c r="I51" s="135"/>
      <c r="J51" s="135"/>
      <c r="K51" s="134"/>
      <c r="L51" s="17"/>
      <c r="M51" s="17"/>
      <c r="N51" s="17"/>
      <c r="O51" s="17"/>
      <c r="P51" s="17"/>
      <c r="Q51" s="17"/>
      <c r="R51" s="17"/>
      <c r="S51" s="17"/>
      <c r="T51" s="17"/>
      <c r="U51" s="17"/>
      <c r="V51" s="17"/>
    </row>
    <row r="52" spans="1:32" ht="14.1" customHeight="1" x14ac:dyDescent="0.15">
      <c r="A52" s="134"/>
      <c r="B52" s="379" t="s">
        <v>899</v>
      </c>
      <c r="C52" s="379"/>
      <c r="D52" s="379"/>
      <c r="E52" s="379"/>
      <c r="F52" s="379"/>
      <c r="G52" s="379"/>
      <c r="H52" s="136" t="s">
        <v>328</v>
      </c>
      <c r="I52" s="136" t="s">
        <v>900</v>
      </c>
      <c r="J52" s="137" t="s">
        <v>901</v>
      </c>
      <c r="K52" s="135"/>
      <c r="L52" s="17"/>
      <c r="M52" s="379" t="s">
        <v>899</v>
      </c>
      <c r="N52" s="379"/>
      <c r="O52" s="379"/>
      <c r="P52" s="379"/>
      <c r="Q52" s="379"/>
      <c r="R52" s="380" t="s">
        <v>902</v>
      </c>
      <c r="S52" s="380"/>
      <c r="T52" s="380"/>
      <c r="U52" s="138" t="s">
        <v>900</v>
      </c>
      <c r="V52" s="17"/>
    </row>
    <row r="53" spans="1:32" ht="14.1" customHeight="1" x14ac:dyDescent="0.15">
      <c r="A53" s="135"/>
      <c r="B53" s="373"/>
      <c r="C53" s="373"/>
      <c r="D53" s="373"/>
      <c r="E53" s="373"/>
      <c r="F53" s="373"/>
      <c r="G53" s="373"/>
      <c r="H53" s="374" t="s">
        <v>19</v>
      </c>
      <c r="I53" s="375"/>
      <c r="J53" s="376"/>
      <c r="K53" s="134"/>
      <c r="L53" s="17"/>
      <c r="M53" s="377"/>
      <c r="N53" s="377"/>
      <c r="O53" s="377"/>
      <c r="P53" s="377"/>
      <c r="Q53" s="377"/>
      <c r="R53" s="378" t="s">
        <v>19</v>
      </c>
      <c r="S53" s="378"/>
      <c r="T53" s="378"/>
      <c r="U53" s="366"/>
      <c r="V53" s="17"/>
      <c r="W53"/>
      <c r="X53"/>
      <c r="Y53"/>
      <c r="Z53"/>
      <c r="AA53"/>
      <c r="AB53"/>
      <c r="AC53"/>
      <c r="AD53"/>
      <c r="AE53"/>
      <c r="AF53"/>
    </row>
    <row r="54" spans="1:32" ht="14.1" customHeight="1" x14ac:dyDescent="0.15">
      <c r="A54" s="134"/>
      <c r="B54" s="373"/>
      <c r="C54" s="373"/>
      <c r="D54" s="373"/>
      <c r="E54" s="373"/>
      <c r="F54" s="373"/>
      <c r="G54" s="373"/>
      <c r="H54" s="374"/>
      <c r="I54" s="375"/>
      <c r="J54" s="376"/>
      <c r="K54" s="135"/>
      <c r="L54" s="17"/>
      <c r="M54" s="377"/>
      <c r="N54" s="377"/>
      <c r="O54" s="377"/>
      <c r="P54" s="377"/>
      <c r="Q54" s="377"/>
      <c r="R54" s="378"/>
      <c r="S54" s="378"/>
      <c r="T54" s="378"/>
      <c r="U54" s="366"/>
      <c r="V54" s="17"/>
      <c r="W54"/>
      <c r="X54"/>
      <c r="Y54"/>
      <c r="Z54"/>
      <c r="AA54"/>
      <c r="AB54"/>
      <c r="AC54"/>
      <c r="AD54"/>
      <c r="AE54"/>
      <c r="AF54"/>
    </row>
    <row r="55" spans="1:32" ht="14.1" customHeight="1" x14ac:dyDescent="0.15">
      <c r="A55" s="135"/>
      <c r="B55" s="367" t="s">
        <v>9</v>
      </c>
      <c r="C55" s="367"/>
      <c r="D55" s="367"/>
      <c r="E55" s="368" t="s">
        <v>10</v>
      </c>
      <c r="F55" s="368"/>
      <c r="G55" s="368"/>
      <c r="H55" s="369" t="s">
        <v>11</v>
      </c>
      <c r="I55" s="369"/>
      <c r="J55" s="369"/>
      <c r="K55" s="134"/>
      <c r="L55" s="17"/>
      <c r="M55" s="377"/>
      <c r="N55" s="377"/>
      <c r="O55" s="377"/>
      <c r="P55" s="377"/>
      <c r="Q55" s="377"/>
      <c r="R55" s="378"/>
      <c r="S55" s="378"/>
      <c r="T55" s="378"/>
      <c r="U55" s="366"/>
      <c r="V55" s="17"/>
      <c r="W55"/>
      <c r="X55"/>
      <c r="Y55"/>
      <c r="Z55"/>
      <c r="AA55"/>
      <c r="AB55"/>
      <c r="AC55"/>
      <c r="AD55"/>
      <c r="AE55"/>
      <c r="AF55"/>
    </row>
    <row r="56" spans="1:32" ht="14.1" customHeight="1" x14ac:dyDescent="0.15">
      <c r="A56" s="134"/>
      <c r="B56" s="370" t="s">
        <v>19</v>
      </c>
      <c r="C56" s="371" t="s">
        <v>19</v>
      </c>
      <c r="D56" s="371" t="s">
        <v>19</v>
      </c>
      <c r="E56" s="140" t="s">
        <v>19</v>
      </c>
      <c r="F56" s="140" t="s">
        <v>19</v>
      </c>
      <c r="G56" s="140" t="s">
        <v>19</v>
      </c>
      <c r="H56" s="140" t="s">
        <v>19</v>
      </c>
      <c r="I56" s="140" t="s">
        <v>19</v>
      </c>
      <c r="J56" s="141" t="s">
        <v>19</v>
      </c>
      <c r="K56" s="135"/>
      <c r="L56" s="17"/>
      <c r="M56" s="372" t="s">
        <v>903</v>
      </c>
      <c r="N56" s="372"/>
      <c r="O56" s="372"/>
      <c r="P56" s="372"/>
      <c r="Q56" s="372"/>
      <c r="R56" s="372"/>
      <c r="S56" s="372"/>
      <c r="T56" s="372"/>
      <c r="U56" s="372"/>
      <c r="V56" s="17"/>
      <c r="W56"/>
      <c r="X56"/>
      <c r="Y56"/>
      <c r="Z56"/>
      <c r="AA56"/>
      <c r="AB56"/>
      <c r="AC56"/>
      <c r="AD56"/>
      <c r="AE56"/>
      <c r="AF56"/>
    </row>
    <row r="57" spans="1:32" ht="14.1" customHeight="1" x14ac:dyDescent="0.15">
      <c r="A57" s="135"/>
      <c r="B57" s="370"/>
      <c r="C57" s="371"/>
      <c r="D57" s="371"/>
      <c r="E57" s="140" t="s">
        <v>19</v>
      </c>
      <c r="F57" s="140" t="s">
        <v>19</v>
      </c>
      <c r="G57" s="140" t="s">
        <v>19</v>
      </c>
      <c r="H57" s="140" t="s">
        <v>19</v>
      </c>
      <c r="I57" s="140" t="s">
        <v>19</v>
      </c>
      <c r="J57" s="141" t="s">
        <v>19</v>
      </c>
      <c r="K57" s="134"/>
      <c r="L57" s="17"/>
      <c r="M57" s="364"/>
      <c r="N57" s="364"/>
      <c r="O57" s="364"/>
      <c r="P57" s="364"/>
      <c r="Q57" s="364"/>
      <c r="R57" s="364"/>
      <c r="S57" s="364"/>
      <c r="T57" s="364"/>
      <c r="U57" s="364"/>
      <c r="V57" s="17"/>
      <c r="W57"/>
      <c r="X57"/>
      <c r="Y57"/>
      <c r="Z57"/>
      <c r="AA57"/>
      <c r="AB57"/>
      <c r="AC57"/>
      <c r="AD57"/>
      <c r="AE57"/>
      <c r="AF57"/>
    </row>
    <row r="58" spans="1:32" ht="14.1" customHeight="1" x14ac:dyDescent="0.15">
      <c r="A58" s="134"/>
      <c r="B58" s="372" t="s">
        <v>903</v>
      </c>
      <c r="C58" s="372"/>
      <c r="D58" s="372"/>
      <c r="E58" s="372"/>
      <c r="F58" s="372"/>
      <c r="G58" s="372"/>
      <c r="H58" s="372"/>
      <c r="I58" s="372"/>
      <c r="J58" s="372"/>
      <c r="K58" s="135"/>
      <c r="L58" s="17"/>
      <c r="M58" s="364"/>
      <c r="N58" s="364"/>
      <c r="O58" s="364"/>
      <c r="P58" s="364"/>
      <c r="Q58" s="364"/>
      <c r="R58" s="364"/>
      <c r="S58" s="364"/>
      <c r="T58" s="364"/>
      <c r="U58" s="364"/>
      <c r="V58" s="17"/>
      <c r="W58"/>
      <c r="X58"/>
      <c r="Y58"/>
      <c r="Z58"/>
      <c r="AA58"/>
      <c r="AB58"/>
      <c r="AC58"/>
      <c r="AD58"/>
      <c r="AE58"/>
      <c r="AF58"/>
    </row>
    <row r="59" spans="1:32" ht="14.1" customHeight="1" x14ac:dyDescent="0.15">
      <c r="A59" s="135"/>
      <c r="B59" s="364"/>
      <c r="C59" s="364"/>
      <c r="D59" s="364"/>
      <c r="E59" s="364"/>
      <c r="F59" s="364"/>
      <c r="G59" s="364"/>
      <c r="H59" s="364"/>
      <c r="I59" s="364"/>
      <c r="J59" s="364"/>
      <c r="K59" s="134"/>
      <c r="L59" s="17"/>
      <c r="M59" s="364"/>
      <c r="N59" s="364"/>
      <c r="O59" s="364"/>
      <c r="P59" s="364"/>
      <c r="Q59" s="364"/>
      <c r="R59" s="364"/>
      <c r="S59" s="364"/>
      <c r="T59" s="364"/>
      <c r="U59" s="364"/>
      <c r="V59" s="17"/>
      <c r="W59"/>
      <c r="X59"/>
      <c r="Y59"/>
      <c r="Z59"/>
      <c r="AA59"/>
      <c r="AB59"/>
      <c r="AC59"/>
      <c r="AD59"/>
      <c r="AE59"/>
      <c r="AF59"/>
    </row>
    <row r="60" spans="1:32" ht="14.1" customHeight="1" x14ac:dyDescent="0.15">
      <c r="A60" s="134"/>
      <c r="B60" s="364"/>
      <c r="C60" s="364"/>
      <c r="D60" s="364"/>
      <c r="E60" s="364"/>
      <c r="F60" s="364"/>
      <c r="G60" s="364"/>
      <c r="H60" s="364"/>
      <c r="I60" s="364"/>
      <c r="J60" s="364"/>
      <c r="K60" s="135"/>
      <c r="L60" s="17"/>
      <c r="M60" s="364"/>
      <c r="N60" s="364"/>
      <c r="O60" s="364"/>
      <c r="P60" s="364"/>
      <c r="Q60" s="364"/>
      <c r="R60" s="364"/>
      <c r="S60" s="364"/>
      <c r="T60" s="364"/>
      <c r="U60" s="364"/>
      <c r="V60" s="17"/>
      <c r="W60"/>
      <c r="X60"/>
      <c r="Y60"/>
      <c r="Z60"/>
      <c r="AA60"/>
      <c r="AB60"/>
      <c r="AC60"/>
      <c r="AD60"/>
      <c r="AE60"/>
      <c r="AF60"/>
    </row>
    <row r="61" spans="1:32" ht="14.1" customHeight="1" x14ac:dyDescent="0.15">
      <c r="A61" s="135"/>
      <c r="B61" s="365" t="s">
        <v>904</v>
      </c>
      <c r="C61" s="365"/>
      <c r="D61" s="365"/>
      <c r="E61" s="365"/>
      <c r="F61" s="365"/>
      <c r="G61" s="365"/>
      <c r="H61" s="365"/>
      <c r="I61" s="365"/>
      <c r="J61" s="365"/>
      <c r="K61" s="134"/>
      <c r="L61" s="17"/>
      <c r="M61" s="365" t="s">
        <v>905</v>
      </c>
      <c r="N61" s="365"/>
      <c r="O61" s="365"/>
      <c r="P61" s="365"/>
      <c r="Q61" s="365"/>
      <c r="R61" s="365"/>
      <c r="S61" s="365"/>
      <c r="T61" s="365"/>
      <c r="U61" s="365"/>
      <c r="V61" s="17"/>
      <c r="W61"/>
      <c r="X61"/>
      <c r="Y61"/>
      <c r="Z61"/>
      <c r="AA61"/>
      <c r="AB61"/>
      <c r="AC61"/>
      <c r="AD61"/>
      <c r="AE61"/>
      <c r="AF61"/>
    </row>
    <row r="62" spans="1:32" ht="14.1" customHeight="1" x14ac:dyDescent="0.15">
      <c r="A62" s="134"/>
      <c r="B62" s="134"/>
      <c r="C62" s="134"/>
      <c r="D62" s="134"/>
      <c r="E62" s="134"/>
      <c r="F62" s="134"/>
      <c r="G62" s="134"/>
      <c r="H62" s="134"/>
      <c r="I62" s="134"/>
      <c r="J62" s="134"/>
      <c r="K62" s="135"/>
      <c r="L62" s="17"/>
      <c r="M62" s="17"/>
      <c r="N62" s="17"/>
      <c r="O62" s="17"/>
      <c r="P62" s="17"/>
      <c r="Q62" s="17"/>
      <c r="R62" s="17"/>
      <c r="S62" s="17"/>
      <c r="T62" s="17"/>
      <c r="U62" s="17"/>
      <c r="V62" s="17"/>
      <c r="W62"/>
      <c r="X62"/>
      <c r="Y62"/>
      <c r="Z62"/>
      <c r="AA62"/>
      <c r="AB62"/>
      <c r="AC62"/>
      <c r="AD62"/>
      <c r="AE62"/>
      <c r="AF62"/>
    </row>
    <row r="63" spans="1:32" ht="14.1" customHeight="1" x14ac:dyDescent="0.15">
      <c r="A63" s="135"/>
      <c r="B63" s="379" t="s">
        <v>899</v>
      </c>
      <c r="C63" s="379"/>
      <c r="D63" s="379"/>
      <c r="E63" s="379"/>
      <c r="F63" s="379"/>
      <c r="G63" s="379"/>
      <c r="H63" s="136" t="s">
        <v>328</v>
      </c>
      <c r="I63" s="136" t="s">
        <v>900</v>
      </c>
      <c r="J63" s="137" t="s">
        <v>901</v>
      </c>
      <c r="K63" s="135"/>
      <c r="L63" s="17"/>
      <c r="M63" s="379" t="s">
        <v>899</v>
      </c>
      <c r="N63" s="379"/>
      <c r="O63" s="379"/>
      <c r="P63" s="379"/>
      <c r="Q63" s="379"/>
      <c r="R63" s="380" t="s">
        <v>902</v>
      </c>
      <c r="S63" s="380"/>
      <c r="T63" s="380"/>
      <c r="U63" s="138" t="s">
        <v>900</v>
      </c>
      <c r="V63" s="17"/>
      <c r="W63"/>
      <c r="X63"/>
      <c r="Y63"/>
      <c r="Z63"/>
      <c r="AA63"/>
      <c r="AB63"/>
      <c r="AC63"/>
      <c r="AD63"/>
      <c r="AE63"/>
      <c r="AF63"/>
    </row>
    <row r="64" spans="1:32" ht="14.1" customHeight="1" x14ac:dyDescent="0.15">
      <c r="A64" s="134"/>
      <c r="B64" s="373"/>
      <c r="C64" s="373"/>
      <c r="D64" s="373"/>
      <c r="E64" s="373"/>
      <c r="F64" s="373"/>
      <c r="G64" s="373"/>
      <c r="H64" s="374" t="s">
        <v>19</v>
      </c>
      <c r="I64" s="375"/>
      <c r="J64" s="376"/>
      <c r="K64" s="134"/>
      <c r="L64" s="17"/>
      <c r="M64" s="377"/>
      <c r="N64" s="377"/>
      <c r="O64" s="377"/>
      <c r="P64" s="377"/>
      <c r="Q64" s="377"/>
      <c r="R64" s="378" t="s">
        <v>19</v>
      </c>
      <c r="S64" s="378"/>
      <c r="T64" s="378"/>
      <c r="U64" s="366"/>
      <c r="V64" s="17"/>
      <c r="W64"/>
      <c r="X64"/>
      <c r="Y64"/>
      <c r="Z64"/>
      <c r="AA64"/>
      <c r="AB64"/>
      <c r="AC64"/>
      <c r="AD64"/>
      <c r="AE64"/>
      <c r="AF64"/>
    </row>
    <row r="65" spans="1:32" ht="14.1" customHeight="1" x14ac:dyDescent="0.15">
      <c r="A65" s="135"/>
      <c r="B65" s="373"/>
      <c r="C65" s="373"/>
      <c r="D65" s="373"/>
      <c r="E65" s="373"/>
      <c r="F65" s="373"/>
      <c r="G65" s="373"/>
      <c r="H65" s="374"/>
      <c r="I65" s="375"/>
      <c r="J65" s="376"/>
      <c r="K65" s="135"/>
      <c r="L65" s="17"/>
      <c r="M65" s="377"/>
      <c r="N65" s="377"/>
      <c r="O65" s="377"/>
      <c r="P65" s="377"/>
      <c r="Q65" s="377"/>
      <c r="R65" s="378"/>
      <c r="S65" s="378"/>
      <c r="T65" s="378"/>
      <c r="U65" s="366"/>
      <c r="V65" s="17"/>
      <c r="W65"/>
      <c r="X65"/>
      <c r="Y65"/>
      <c r="Z65"/>
      <c r="AA65"/>
      <c r="AB65"/>
      <c r="AC65"/>
      <c r="AD65"/>
      <c r="AE65"/>
      <c r="AF65"/>
    </row>
    <row r="66" spans="1:32" ht="14.1" customHeight="1" x14ac:dyDescent="0.15">
      <c r="A66" s="134"/>
      <c r="B66" s="367" t="s">
        <v>9</v>
      </c>
      <c r="C66" s="367"/>
      <c r="D66" s="367"/>
      <c r="E66" s="368" t="s">
        <v>10</v>
      </c>
      <c r="F66" s="368"/>
      <c r="G66" s="368"/>
      <c r="H66" s="369" t="s">
        <v>11</v>
      </c>
      <c r="I66" s="369"/>
      <c r="J66" s="369"/>
      <c r="K66" s="134"/>
      <c r="L66" s="17"/>
      <c r="M66" s="377"/>
      <c r="N66" s="377"/>
      <c r="O66" s="377"/>
      <c r="P66" s="377"/>
      <c r="Q66" s="377"/>
      <c r="R66" s="378"/>
      <c r="S66" s="378"/>
      <c r="T66" s="378"/>
      <c r="U66" s="366"/>
      <c r="V66" s="17"/>
      <c r="W66"/>
      <c r="X66"/>
      <c r="Y66"/>
      <c r="Z66"/>
      <c r="AA66"/>
      <c r="AB66"/>
      <c r="AC66"/>
      <c r="AD66"/>
      <c r="AE66"/>
      <c r="AF66"/>
    </row>
    <row r="67" spans="1:32" ht="14.1" customHeight="1" x14ac:dyDescent="0.15">
      <c r="A67" s="135"/>
      <c r="B67" s="370" t="s">
        <v>19</v>
      </c>
      <c r="C67" s="371" t="s">
        <v>19</v>
      </c>
      <c r="D67" s="371" t="s">
        <v>19</v>
      </c>
      <c r="E67" s="140" t="s">
        <v>19</v>
      </c>
      <c r="F67" s="140" t="s">
        <v>19</v>
      </c>
      <c r="G67" s="140" t="s">
        <v>19</v>
      </c>
      <c r="H67" s="140" t="s">
        <v>19</v>
      </c>
      <c r="I67" s="140" t="s">
        <v>19</v>
      </c>
      <c r="J67" s="141" t="s">
        <v>19</v>
      </c>
      <c r="K67" s="135"/>
      <c r="L67" s="17"/>
      <c r="M67" s="372" t="s">
        <v>903</v>
      </c>
      <c r="N67" s="372"/>
      <c r="O67" s="372"/>
      <c r="P67" s="372"/>
      <c r="Q67" s="372"/>
      <c r="R67" s="372"/>
      <c r="S67" s="372"/>
      <c r="T67" s="372"/>
      <c r="U67" s="372"/>
      <c r="V67" s="17"/>
      <c r="W67"/>
      <c r="X67"/>
      <c r="Y67"/>
      <c r="Z67"/>
      <c r="AA67"/>
      <c r="AB67"/>
      <c r="AC67"/>
      <c r="AD67"/>
      <c r="AE67"/>
      <c r="AF67"/>
    </row>
    <row r="68" spans="1:32" ht="14.1" customHeight="1" x14ac:dyDescent="0.15">
      <c r="A68" s="134"/>
      <c r="B68" s="370"/>
      <c r="C68" s="371"/>
      <c r="D68" s="371"/>
      <c r="E68" s="140" t="s">
        <v>19</v>
      </c>
      <c r="F68" s="140" t="s">
        <v>19</v>
      </c>
      <c r="G68" s="140" t="s">
        <v>19</v>
      </c>
      <c r="H68" s="140" t="s">
        <v>19</v>
      </c>
      <c r="I68" s="140" t="s">
        <v>19</v>
      </c>
      <c r="J68" s="141" t="s">
        <v>19</v>
      </c>
      <c r="K68" s="134"/>
      <c r="L68" s="17"/>
      <c r="M68" s="364"/>
      <c r="N68" s="364"/>
      <c r="O68" s="364"/>
      <c r="P68" s="364"/>
      <c r="Q68" s="364"/>
      <c r="R68" s="364"/>
      <c r="S68" s="364"/>
      <c r="T68" s="364"/>
      <c r="U68" s="364"/>
      <c r="V68" s="17"/>
      <c r="W68"/>
      <c r="X68"/>
      <c r="Y68"/>
      <c r="Z68"/>
      <c r="AA68"/>
      <c r="AB68"/>
      <c r="AC68"/>
      <c r="AD68"/>
      <c r="AE68"/>
      <c r="AF68"/>
    </row>
    <row r="69" spans="1:32" ht="14.1" customHeight="1" x14ac:dyDescent="0.15">
      <c r="A69" s="135"/>
      <c r="B69" s="372" t="s">
        <v>903</v>
      </c>
      <c r="C69" s="372"/>
      <c r="D69" s="372"/>
      <c r="E69" s="372"/>
      <c r="F69" s="372"/>
      <c r="G69" s="372"/>
      <c r="H69" s="372"/>
      <c r="I69" s="372"/>
      <c r="J69" s="372"/>
      <c r="K69" s="135"/>
      <c r="L69" s="17"/>
      <c r="M69" s="364"/>
      <c r="N69" s="364"/>
      <c r="O69" s="364"/>
      <c r="P69" s="364"/>
      <c r="Q69" s="364"/>
      <c r="R69" s="364"/>
      <c r="S69" s="364"/>
      <c r="T69" s="364"/>
      <c r="U69" s="364"/>
      <c r="V69" s="17"/>
      <c r="W69"/>
      <c r="X69"/>
      <c r="Y69"/>
      <c r="Z69"/>
      <c r="AA69"/>
      <c r="AB69"/>
      <c r="AC69"/>
      <c r="AD69"/>
      <c r="AE69"/>
      <c r="AF69"/>
    </row>
    <row r="70" spans="1:32" ht="14.1" customHeight="1" x14ac:dyDescent="0.15">
      <c r="A70" s="134"/>
      <c r="B70" s="364"/>
      <c r="C70" s="364"/>
      <c r="D70" s="364"/>
      <c r="E70" s="364"/>
      <c r="F70" s="364"/>
      <c r="G70" s="364"/>
      <c r="H70" s="364"/>
      <c r="I70" s="364"/>
      <c r="J70" s="364"/>
      <c r="K70" s="134"/>
      <c r="L70" s="17"/>
      <c r="M70" s="364"/>
      <c r="N70" s="364"/>
      <c r="O70" s="364"/>
      <c r="P70" s="364"/>
      <c r="Q70" s="364"/>
      <c r="R70" s="364"/>
      <c r="S70" s="364"/>
      <c r="T70" s="364"/>
      <c r="U70" s="364"/>
      <c r="V70" s="17"/>
      <c r="W70"/>
      <c r="X70"/>
      <c r="Y70"/>
      <c r="Z70"/>
      <c r="AA70"/>
      <c r="AB70"/>
      <c r="AC70"/>
      <c r="AD70"/>
      <c r="AE70"/>
      <c r="AF70"/>
    </row>
    <row r="71" spans="1:32" ht="14.1" customHeight="1" x14ac:dyDescent="0.15">
      <c r="A71" s="135"/>
      <c r="B71" s="364"/>
      <c r="C71" s="364"/>
      <c r="D71" s="364"/>
      <c r="E71" s="364"/>
      <c r="F71" s="364"/>
      <c r="G71" s="364"/>
      <c r="H71" s="364"/>
      <c r="I71" s="364"/>
      <c r="J71" s="364"/>
      <c r="K71" s="135"/>
      <c r="L71" s="17"/>
      <c r="M71" s="364"/>
      <c r="N71" s="364"/>
      <c r="O71" s="364"/>
      <c r="P71" s="364"/>
      <c r="Q71" s="364"/>
      <c r="R71" s="364"/>
      <c r="S71" s="364"/>
      <c r="T71" s="364"/>
      <c r="U71" s="364"/>
      <c r="V71" s="17"/>
      <c r="W71"/>
      <c r="X71"/>
      <c r="Y71"/>
      <c r="Z71"/>
      <c r="AA71"/>
      <c r="AB71"/>
      <c r="AC71"/>
      <c r="AD71"/>
      <c r="AE71"/>
      <c r="AF71"/>
    </row>
    <row r="72" spans="1:32" ht="14.1" customHeight="1" x14ac:dyDescent="0.15">
      <c r="A72" s="134"/>
      <c r="B72" s="365" t="s">
        <v>904</v>
      </c>
      <c r="C72" s="365"/>
      <c r="D72" s="365"/>
      <c r="E72" s="365"/>
      <c r="F72" s="365"/>
      <c r="G72" s="365"/>
      <c r="H72" s="365"/>
      <c r="I72" s="365"/>
      <c r="J72" s="365"/>
      <c r="K72" s="134"/>
      <c r="L72" s="17"/>
      <c r="M72" s="365" t="s">
        <v>905</v>
      </c>
      <c r="N72" s="365"/>
      <c r="O72" s="365"/>
      <c r="P72" s="365"/>
      <c r="Q72" s="365"/>
      <c r="R72" s="365"/>
      <c r="S72" s="365"/>
      <c r="T72" s="365"/>
      <c r="U72" s="365"/>
      <c r="V72" s="17"/>
      <c r="W72"/>
      <c r="X72"/>
      <c r="Y72"/>
      <c r="Z72"/>
      <c r="AA72"/>
      <c r="AB72"/>
      <c r="AC72"/>
      <c r="AD72"/>
      <c r="AE72"/>
      <c r="AF72"/>
    </row>
    <row r="73" spans="1:32" ht="14.1" customHeight="1" x14ac:dyDescent="0.15">
      <c r="A73" s="135"/>
      <c r="B73" s="135"/>
      <c r="C73" s="135"/>
      <c r="D73" s="135"/>
      <c r="E73" s="135"/>
      <c r="F73" s="135"/>
      <c r="G73" s="135"/>
      <c r="H73" s="135"/>
      <c r="I73" s="135"/>
      <c r="J73" s="135"/>
      <c r="K73" s="134"/>
      <c r="L73" s="17"/>
      <c r="M73" s="17"/>
      <c r="N73" s="17"/>
      <c r="O73" s="17"/>
      <c r="P73" s="17"/>
      <c r="Q73" s="17"/>
      <c r="R73" s="17"/>
      <c r="S73" s="17"/>
      <c r="T73" s="17"/>
      <c r="U73" s="17"/>
      <c r="V73" s="17"/>
      <c r="W73"/>
      <c r="X73"/>
      <c r="Y73"/>
      <c r="Z73"/>
      <c r="AA73"/>
      <c r="AB73"/>
      <c r="AC73"/>
      <c r="AD73"/>
      <c r="AE73"/>
      <c r="AF73"/>
    </row>
    <row r="74" spans="1:32" ht="14.1" customHeight="1" x14ac:dyDescent="0.15">
      <c r="A74" s="134"/>
      <c r="B74" s="379" t="s">
        <v>899</v>
      </c>
      <c r="C74" s="379"/>
      <c r="D74" s="379"/>
      <c r="E74" s="379"/>
      <c r="F74" s="379"/>
      <c r="G74" s="379"/>
      <c r="H74" s="136" t="s">
        <v>328</v>
      </c>
      <c r="I74" s="136" t="s">
        <v>900</v>
      </c>
      <c r="J74" s="137" t="s">
        <v>901</v>
      </c>
      <c r="K74" s="135"/>
      <c r="L74" s="17"/>
      <c r="M74" s="379" t="s">
        <v>899</v>
      </c>
      <c r="N74" s="379"/>
      <c r="O74" s="379"/>
      <c r="P74" s="379"/>
      <c r="Q74" s="379"/>
      <c r="R74" s="380" t="s">
        <v>902</v>
      </c>
      <c r="S74" s="380"/>
      <c r="T74" s="380"/>
      <c r="U74" s="138" t="s">
        <v>900</v>
      </c>
      <c r="V74" s="17"/>
      <c r="W74"/>
      <c r="X74"/>
      <c r="Y74"/>
      <c r="Z74"/>
      <c r="AA74"/>
      <c r="AB74"/>
      <c r="AC74"/>
      <c r="AD74"/>
      <c r="AE74"/>
      <c r="AF74"/>
    </row>
    <row r="75" spans="1:32" ht="14.1" customHeight="1" x14ac:dyDescent="0.15">
      <c r="A75" s="135"/>
      <c r="B75" s="373"/>
      <c r="C75" s="373"/>
      <c r="D75" s="373"/>
      <c r="E75" s="373"/>
      <c r="F75" s="373"/>
      <c r="G75" s="373"/>
      <c r="H75" s="374" t="s">
        <v>19</v>
      </c>
      <c r="I75" s="375"/>
      <c r="J75" s="376"/>
      <c r="K75" s="134"/>
      <c r="L75" s="17"/>
      <c r="M75" s="377"/>
      <c r="N75" s="377"/>
      <c r="O75" s="377"/>
      <c r="P75" s="377"/>
      <c r="Q75" s="377"/>
      <c r="R75" s="378" t="s">
        <v>19</v>
      </c>
      <c r="S75" s="378"/>
      <c r="T75" s="378"/>
      <c r="U75" s="366"/>
      <c r="V75" s="17"/>
      <c r="W75"/>
      <c r="X75"/>
      <c r="Y75"/>
      <c r="Z75"/>
      <c r="AA75"/>
      <c r="AB75"/>
      <c r="AC75"/>
      <c r="AD75"/>
      <c r="AE75"/>
      <c r="AF75"/>
    </row>
    <row r="76" spans="1:32" ht="14.1" customHeight="1" x14ac:dyDescent="0.15">
      <c r="A76" s="134"/>
      <c r="B76" s="373"/>
      <c r="C76" s="373"/>
      <c r="D76" s="373"/>
      <c r="E76" s="373"/>
      <c r="F76" s="373"/>
      <c r="G76" s="373"/>
      <c r="H76" s="374"/>
      <c r="I76" s="375"/>
      <c r="J76" s="376"/>
      <c r="K76" s="135"/>
      <c r="L76" s="17"/>
      <c r="M76" s="377"/>
      <c r="N76" s="377"/>
      <c r="O76" s="377"/>
      <c r="P76" s="377"/>
      <c r="Q76" s="377"/>
      <c r="R76" s="378"/>
      <c r="S76" s="378"/>
      <c r="T76" s="378"/>
      <c r="U76" s="366"/>
      <c r="V76" s="17"/>
      <c r="W76"/>
      <c r="X76"/>
      <c r="Y76"/>
      <c r="Z76"/>
      <c r="AA76"/>
      <c r="AB76"/>
      <c r="AC76"/>
      <c r="AD76"/>
      <c r="AE76"/>
      <c r="AF76"/>
    </row>
    <row r="77" spans="1:32" ht="14.1" customHeight="1" x14ac:dyDescent="0.15">
      <c r="A77" s="135"/>
      <c r="B77" s="367" t="s">
        <v>9</v>
      </c>
      <c r="C77" s="367"/>
      <c r="D77" s="367"/>
      <c r="E77" s="368" t="s">
        <v>10</v>
      </c>
      <c r="F77" s="368"/>
      <c r="G77" s="368"/>
      <c r="H77" s="369" t="s">
        <v>11</v>
      </c>
      <c r="I77" s="369"/>
      <c r="J77" s="369"/>
      <c r="K77" s="134"/>
      <c r="L77" s="17"/>
      <c r="M77" s="377"/>
      <c r="N77" s="377"/>
      <c r="O77" s="377"/>
      <c r="P77" s="377"/>
      <c r="Q77" s="377"/>
      <c r="R77" s="378"/>
      <c r="S77" s="378"/>
      <c r="T77" s="378"/>
      <c r="U77" s="366"/>
      <c r="V77" s="17"/>
      <c r="W77"/>
      <c r="X77"/>
      <c r="Y77"/>
      <c r="Z77"/>
      <c r="AA77"/>
      <c r="AB77"/>
      <c r="AC77"/>
      <c r="AD77"/>
      <c r="AE77"/>
      <c r="AF77"/>
    </row>
    <row r="78" spans="1:32" ht="14.1" customHeight="1" x14ac:dyDescent="0.15">
      <c r="A78" s="134"/>
      <c r="B78" s="370" t="s">
        <v>19</v>
      </c>
      <c r="C78" s="371" t="s">
        <v>19</v>
      </c>
      <c r="D78" s="371" t="s">
        <v>19</v>
      </c>
      <c r="E78" s="140" t="s">
        <v>19</v>
      </c>
      <c r="F78" s="140" t="s">
        <v>19</v>
      </c>
      <c r="G78" s="140" t="s">
        <v>19</v>
      </c>
      <c r="H78" s="140" t="s">
        <v>19</v>
      </c>
      <c r="I78" s="140" t="s">
        <v>19</v>
      </c>
      <c r="J78" s="141" t="s">
        <v>19</v>
      </c>
      <c r="K78" s="135"/>
      <c r="L78" s="17"/>
      <c r="M78" s="372" t="s">
        <v>903</v>
      </c>
      <c r="N78" s="372"/>
      <c r="O78" s="372"/>
      <c r="P78" s="372"/>
      <c r="Q78" s="372"/>
      <c r="R78" s="372"/>
      <c r="S78" s="372"/>
      <c r="T78" s="372"/>
      <c r="U78" s="372"/>
      <c r="V78" s="17"/>
      <c r="W78"/>
      <c r="X78"/>
      <c r="Y78"/>
      <c r="Z78"/>
      <c r="AA78"/>
      <c r="AB78"/>
      <c r="AC78"/>
      <c r="AD78"/>
      <c r="AE78"/>
      <c r="AF78"/>
    </row>
    <row r="79" spans="1:32" ht="14.1" customHeight="1" x14ac:dyDescent="0.15">
      <c r="A79" s="135"/>
      <c r="B79" s="370"/>
      <c r="C79" s="371"/>
      <c r="D79" s="371"/>
      <c r="E79" s="140" t="s">
        <v>19</v>
      </c>
      <c r="F79" s="140" t="s">
        <v>19</v>
      </c>
      <c r="G79" s="140" t="s">
        <v>19</v>
      </c>
      <c r="H79" s="140" t="s">
        <v>19</v>
      </c>
      <c r="I79" s="140" t="s">
        <v>19</v>
      </c>
      <c r="J79" s="141" t="s">
        <v>19</v>
      </c>
      <c r="K79" s="134"/>
      <c r="L79" s="17"/>
      <c r="M79" s="364"/>
      <c r="N79" s="364"/>
      <c r="O79" s="364"/>
      <c r="P79" s="364"/>
      <c r="Q79" s="364"/>
      <c r="R79" s="364"/>
      <c r="S79" s="364"/>
      <c r="T79" s="364"/>
      <c r="U79" s="364"/>
      <c r="V79" s="17"/>
      <c r="W79"/>
      <c r="X79"/>
      <c r="Y79"/>
      <c r="Z79"/>
      <c r="AA79"/>
      <c r="AB79"/>
      <c r="AC79"/>
      <c r="AD79"/>
      <c r="AE79"/>
      <c r="AF79"/>
    </row>
    <row r="80" spans="1:32" ht="14.1" customHeight="1" x14ac:dyDescent="0.15">
      <c r="A80" s="134"/>
      <c r="B80" s="372" t="s">
        <v>903</v>
      </c>
      <c r="C80" s="372"/>
      <c r="D80" s="372"/>
      <c r="E80" s="372"/>
      <c r="F80" s="372"/>
      <c r="G80" s="372"/>
      <c r="H80" s="372"/>
      <c r="I80" s="372"/>
      <c r="J80" s="372"/>
      <c r="K80" s="135"/>
      <c r="L80" s="17"/>
      <c r="M80" s="364"/>
      <c r="N80" s="364"/>
      <c r="O80" s="364"/>
      <c r="P80" s="364"/>
      <c r="Q80" s="364"/>
      <c r="R80" s="364"/>
      <c r="S80" s="364"/>
      <c r="T80" s="364"/>
      <c r="U80" s="364"/>
      <c r="V80" s="17"/>
      <c r="W80"/>
      <c r="X80"/>
      <c r="Y80"/>
      <c r="Z80"/>
      <c r="AA80"/>
      <c r="AB80"/>
      <c r="AC80"/>
      <c r="AD80"/>
      <c r="AE80"/>
      <c r="AF80"/>
    </row>
    <row r="81" spans="1:32" ht="14.1" customHeight="1" x14ac:dyDescent="0.15">
      <c r="A81" s="135"/>
      <c r="B81" s="364"/>
      <c r="C81" s="364"/>
      <c r="D81" s="364"/>
      <c r="E81" s="364"/>
      <c r="F81" s="364"/>
      <c r="G81" s="364"/>
      <c r="H81" s="364"/>
      <c r="I81" s="364"/>
      <c r="J81" s="364"/>
      <c r="K81" s="134"/>
      <c r="L81" s="17"/>
      <c r="M81" s="364"/>
      <c r="N81" s="364"/>
      <c r="O81" s="364"/>
      <c r="P81" s="364"/>
      <c r="Q81" s="364"/>
      <c r="R81" s="364"/>
      <c r="S81" s="364"/>
      <c r="T81" s="364"/>
      <c r="U81" s="364"/>
      <c r="V81" s="17"/>
      <c r="W81"/>
      <c r="X81"/>
      <c r="Y81"/>
      <c r="Z81"/>
      <c r="AA81"/>
      <c r="AB81"/>
      <c r="AC81"/>
      <c r="AD81"/>
      <c r="AE81"/>
      <c r="AF81"/>
    </row>
    <row r="82" spans="1:32" ht="14.1" customHeight="1" x14ac:dyDescent="0.15">
      <c r="A82" s="134"/>
      <c r="B82" s="364"/>
      <c r="C82" s="364"/>
      <c r="D82" s="364"/>
      <c r="E82" s="364"/>
      <c r="F82" s="364"/>
      <c r="G82" s="364"/>
      <c r="H82" s="364"/>
      <c r="I82" s="364"/>
      <c r="J82" s="364"/>
      <c r="K82" s="135"/>
      <c r="L82" s="17"/>
      <c r="M82" s="364"/>
      <c r="N82" s="364"/>
      <c r="O82" s="364"/>
      <c r="P82" s="364"/>
      <c r="Q82" s="364"/>
      <c r="R82" s="364"/>
      <c r="S82" s="364"/>
      <c r="T82" s="364"/>
      <c r="U82" s="364"/>
      <c r="V82" s="17"/>
      <c r="W82"/>
      <c r="X82"/>
      <c r="Y82"/>
      <c r="Z82"/>
      <c r="AA82"/>
      <c r="AB82"/>
      <c r="AC82"/>
      <c r="AD82"/>
      <c r="AE82"/>
      <c r="AF82"/>
    </row>
    <row r="83" spans="1:32" ht="14.1" customHeight="1" x14ac:dyDescent="0.15">
      <c r="A83" s="135"/>
      <c r="B83" s="365" t="s">
        <v>904</v>
      </c>
      <c r="C83" s="365"/>
      <c r="D83" s="365"/>
      <c r="E83" s="365"/>
      <c r="F83" s="365"/>
      <c r="G83" s="365"/>
      <c r="H83" s="365"/>
      <c r="I83" s="365"/>
      <c r="J83" s="365"/>
      <c r="K83" s="134"/>
      <c r="L83" s="17"/>
      <c r="M83" s="365" t="s">
        <v>905</v>
      </c>
      <c r="N83" s="365"/>
      <c r="O83" s="365"/>
      <c r="P83" s="365"/>
      <c r="Q83" s="365"/>
      <c r="R83" s="365"/>
      <c r="S83" s="365"/>
      <c r="T83" s="365"/>
      <c r="U83" s="365"/>
      <c r="V83" s="17"/>
      <c r="W83"/>
      <c r="X83"/>
      <c r="Y83"/>
      <c r="Z83"/>
      <c r="AA83"/>
      <c r="AB83"/>
      <c r="AC83"/>
      <c r="AD83"/>
      <c r="AE83"/>
      <c r="AF83"/>
    </row>
    <row r="84" spans="1:32" ht="14.1" customHeight="1" x14ac:dyDescent="0.15">
      <c r="A84" s="134"/>
      <c r="B84" s="134"/>
      <c r="C84" s="134"/>
      <c r="D84" s="134"/>
      <c r="E84" s="134"/>
      <c r="F84" s="134"/>
      <c r="G84" s="134"/>
      <c r="H84" s="134"/>
      <c r="I84" s="134"/>
      <c r="J84" s="134"/>
      <c r="K84" s="135"/>
      <c r="L84" s="17"/>
      <c r="M84" s="17"/>
      <c r="N84" s="17"/>
      <c r="O84" s="17"/>
      <c r="P84" s="17"/>
      <c r="Q84" s="17"/>
      <c r="R84" s="17"/>
      <c r="S84" s="17"/>
      <c r="T84" s="17"/>
      <c r="U84" s="17"/>
      <c r="V84" s="17"/>
      <c r="W84"/>
      <c r="X84"/>
      <c r="Y84"/>
      <c r="Z84"/>
      <c r="AA84"/>
      <c r="AB84"/>
      <c r="AC84"/>
      <c r="AD84"/>
      <c r="AE84"/>
      <c r="AF84"/>
    </row>
    <row r="85" spans="1:32" ht="14.1" customHeight="1" x14ac:dyDescent="0.15">
      <c r="A85" s="135"/>
      <c r="B85" s="379" t="s">
        <v>899</v>
      </c>
      <c r="C85" s="379"/>
      <c r="D85" s="379"/>
      <c r="E85" s="379"/>
      <c r="F85" s="379"/>
      <c r="G85" s="379"/>
      <c r="H85" s="136" t="s">
        <v>328</v>
      </c>
      <c r="I85" s="136" t="s">
        <v>900</v>
      </c>
      <c r="J85" s="137" t="s">
        <v>901</v>
      </c>
      <c r="K85" s="135"/>
      <c r="L85" s="17"/>
      <c r="M85" s="379" t="s">
        <v>899</v>
      </c>
      <c r="N85" s="379"/>
      <c r="O85" s="379"/>
      <c r="P85" s="379"/>
      <c r="Q85" s="379"/>
      <c r="R85" s="380" t="s">
        <v>902</v>
      </c>
      <c r="S85" s="380"/>
      <c r="T85" s="380"/>
      <c r="U85" s="138" t="s">
        <v>900</v>
      </c>
      <c r="V85" s="17"/>
      <c r="W85"/>
      <c r="X85"/>
      <c r="Y85"/>
      <c r="Z85"/>
      <c r="AA85"/>
      <c r="AB85"/>
      <c r="AC85"/>
      <c r="AD85"/>
      <c r="AE85"/>
      <c r="AF85"/>
    </row>
    <row r="86" spans="1:32" ht="14.1" customHeight="1" x14ac:dyDescent="0.15">
      <c r="A86" s="134"/>
      <c r="B86" s="373"/>
      <c r="C86" s="373"/>
      <c r="D86" s="373"/>
      <c r="E86" s="373"/>
      <c r="F86" s="373"/>
      <c r="G86" s="373"/>
      <c r="H86" s="374" t="s">
        <v>19</v>
      </c>
      <c r="I86" s="375"/>
      <c r="J86" s="376"/>
      <c r="K86" s="134"/>
      <c r="L86" s="17"/>
      <c r="M86" s="377"/>
      <c r="N86" s="377"/>
      <c r="O86" s="377"/>
      <c r="P86" s="377"/>
      <c r="Q86" s="377"/>
      <c r="R86" s="378" t="s">
        <v>19</v>
      </c>
      <c r="S86" s="378"/>
      <c r="T86" s="378"/>
      <c r="U86" s="366"/>
      <c r="V86" s="17"/>
      <c r="W86"/>
      <c r="X86"/>
      <c r="Y86"/>
      <c r="Z86"/>
      <c r="AA86"/>
      <c r="AB86"/>
      <c r="AC86"/>
      <c r="AD86"/>
      <c r="AE86"/>
      <c r="AF86"/>
    </row>
    <row r="87" spans="1:32" ht="14.1" customHeight="1" x14ac:dyDescent="0.15">
      <c r="A87" s="135"/>
      <c r="B87" s="373"/>
      <c r="C87" s="373"/>
      <c r="D87" s="373"/>
      <c r="E87" s="373"/>
      <c r="F87" s="373"/>
      <c r="G87" s="373"/>
      <c r="H87" s="374"/>
      <c r="I87" s="375"/>
      <c r="J87" s="376"/>
      <c r="K87" s="135"/>
      <c r="L87" s="17"/>
      <c r="M87" s="377"/>
      <c r="N87" s="377"/>
      <c r="O87" s="377"/>
      <c r="P87" s="377"/>
      <c r="Q87" s="377"/>
      <c r="R87" s="378"/>
      <c r="S87" s="378"/>
      <c r="T87" s="378"/>
      <c r="U87" s="366"/>
      <c r="V87" s="17"/>
      <c r="W87"/>
      <c r="X87"/>
      <c r="Y87"/>
      <c r="Z87"/>
      <c r="AA87"/>
      <c r="AB87"/>
      <c r="AC87"/>
      <c r="AD87"/>
      <c r="AE87"/>
      <c r="AF87"/>
    </row>
    <row r="88" spans="1:32" ht="14.1" customHeight="1" x14ac:dyDescent="0.15">
      <c r="A88" s="134"/>
      <c r="B88" s="367" t="s">
        <v>9</v>
      </c>
      <c r="C88" s="367"/>
      <c r="D88" s="367"/>
      <c r="E88" s="368" t="s">
        <v>10</v>
      </c>
      <c r="F88" s="368"/>
      <c r="G88" s="368"/>
      <c r="H88" s="369" t="s">
        <v>11</v>
      </c>
      <c r="I88" s="369"/>
      <c r="J88" s="369"/>
      <c r="K88" s="134"/>
      <c r="L88" s="17"/>
      <c r="M88" s="377"/>
      <c r="N88" s="377"/>
      <c r="O88" s="377"/>
      <c r="P88" s="377"/>
      <c r="Q88" s="377"/>
      <c r="R88" s="378"/>
      <c r="S88" s="378"/>
      <c r="T88" s="378"/>
      <c r="U88" s="366"/>
      <c r="V88" s="17"/>
      <c r="W88"/>
      <c r="X88"/>
      <c r="Y88"/>
      <c r="Z88"/>
      <c r="AA88"/>
      <c r="AB88"/>
      <c r="AC88"/>
      <c r="AD88"/>
      <c r="AE88"/>
      <c r="AF88"/>
    </row>
    <row r="89" spans="1:32" ht="14.1" customHeight="1" x14ac:dyDescent="0.15">
      <c r="A89" s="135"/>
      <c r="B89" s="370" t="s">
        <v>19</v>
      </c>
      <c r="C89" s="371" t="s">
        <v>19</v>
      </c>
      <c r="D89" s="371" t="s">
        <v>19</v>
      </c>
      <c r="E89" s="140" t="s">
        <v>19</v>
      </c>
      <c r="F89" s="140" t="s">
        <v>19</v>
      </c>
      <c r="G89" s="140" t="s">
        <v>19</v>
      </c>
      <c r="H89" s="140" t="s">
        <v>19</v>
      </c>
      <c r="I89" s="140" t="s">
        <v>19</v>
      </c>
      <c r="J89" s="141" t="s">
        <v>19</v>
      </c>
      <c r="K89" s="135"/>
      <c r="L89" s="17"/>
      <c r="M89" s="372" t="s">
        <v>903</v>
      </c>
      <c r="N89" s="372"/>
      <c r="O89" s="372"/>
      <c r="P89" s="372"/>
      <c r="Q89" s="372"/>
      <c r="R89" s="372"/>
      <c r="S89" s="372"/>
      <c r="T89" s="372"/>
      <c r="U89" s="372"/>
      <c r="V89" s="17"/>
      <c r="W89"/>
      <c r="X89"/>
      <c r="Y89"/>
      <c r="Z89"/>
      <c r="AA89"/>
      <c r="AB89"/>
      <c r="AC89"/>
      <c r="AD89"/>
      <c r="AE89"/>
      <c r="AF89"/>
    </row>
    <row r="90" spans="1:32" ht="14.1" customHeight="1" x14ac:dyDescent="0.15">
      <c r="A90" s="134"/>
      <c r="B90" s="370"/>
      <c r="C90" s="371"/>
      <c r="D90" s="371"/>
      <c r="E90" s="140" t="s">
        <v>19</v>
      </c>
      <c r="F90" s="140" t="s">
        <v>19</v>
      </c>
      <c r="G90" s="140" t="s">
        <v>19</v>
      </c>
      <c r="H90" s="140" t="s">
        <v>19</v>
      </c>
      <c r="I90" s="140" t="s">
        <v>19</v>
      </c>
      <c r="J90" s="141" t="s">
        <v>19</v>
      </c>
      <c r="K90" s="134"/>
      <c r="L90" s="17"/>
      <c r="M90" s="364"/>
      <c r="N90" s="364"/>
      <c r="O90" s="364"/>
      <c r="P90" s="364"/>
      <c r="Q90" s="364"/>
      <c r="R90" s="364"/>
      <c r="S90" s="364"/>
      <c r="T90" s="364"/>
      <c r="U90" s="364"/>
      <c r="V90" s="17"/>
      <c r="W90"/>
      <c r="X90"/>
      <c r="Y90"/>
      <c r="Z90"/>
      <c r="AA90"/>
      <c r="AB90"/>
      <c r="AC90"/>
      <c r="AD90"/>
      <c r="AE90"/>
      <c r="AF90"/>
    </row>
    <row r="91" spans="1:32" ht="14.1" customHeight="1" x14ac:dyDescent="0.15">
      <c r="A91" s="135"/>
      <c r="B91" s="372" t="s">
        <v>903</v>
      </c>
      <c r="C91" s="372"/>
      <c r="D91" s="372"/>
      <c r="E91" s="372"/>
      <c r="F91" s="372"/>
      <c r="G91" s="372"/>
      <c r="H91" s="372"/>
      <c r="I91" s="372"/>
      <c r="J91" s="372"/>
      <c r="K91" s="135"/>
      <c r="L91" s="17"/>
      <c r="M91" s="364"/>
      <c r="N91" s="364"/>
      <c r="O91" s="364"/>
      <c r="P91" s="364"/>
      <c r="Q91" s="364"/>
      <c r="R91" s="364"/>
      <c r="S91" s="364"/>
      <c r="T91" s="364"/>
      <c r="U91" s="364"/>
      <c r="V91" s="17"/>
      <c r="W91"/>
      <c r="X91"/>
      <c r="Y91"/>
      <c r="Z91"/>
      <c r="AA91"/>
      <c r="AB91"/>
      <c r="AC91"/>
      <c r="AD91"/>
      <c r="AE91"/>
      <c r="AF91"/>
    </row>
    <row r="92" spans="1:32" ht="14.1" customHeight="1" x14ac:dyDescent="0.15">
      <c r="A92" s="134"/>
      <c r="B92" s="364"/>
      <c r="C92" s="364"/>
      <c r="D92" s="364"/>
      <c r="E92" s="364"/>
      <c r="F92" s="364"/>
      <c r="G92" s="364"/>
      <c r="H92" s="364"/>
      <c r="I92" s="364"/>
      <c r="J92" s="364"/>
      <c r="K92" s="134"/>
      <c r="L92" s="17"/>
      <c r="M92" s="364"/>
      <c r="N92" s="364"/>
      <c r="O92" s="364"/>
      <c r="P92" s="364"/>
      <c r="Q92" s="364"/>
      <c r="R92" s="364"/>
      <c r="S92" s="364"/>
      <c r="T92" s="364"/>
      <c r="U92" s="364"/>
      <c r="V92" s="17"/>
      <c r="W92"/>
      <c r="X92"/>
      <c r="Y92"/>
      <c r="Z92"/>
      <c r="AA92"/>
      <c r="AB92"/>
      <c r="AC92"/>
      <c r="AD92"/>
      <c r="AE92"/>
      <c r="AF92"/>
    </row>
    <row r="93" spans="1:32" ht="14.1" customHeight="1" x14ac:dyDescent="0.15">
      <c r="A93" s="135"/>
      <c r="B93" s="364"/>
      <c r="C93" s="364"/>
      <c r="D93" s="364"/>
      <c r="E93" s="364"/>
      <c r="F93" s="364"/>
      <c r="G93" s="364"/>
      <c r="H93" s="364"/>
      <c r="I93" s="364"/>
      <c r="J93" s="364"/>
      <c r="K93" s="135"/>
      <c r="L93" s="17"/>
      <c r="M93" s="364"/>
      <c r="N93" s="364"/>
      <c r="O93" s="364"/>
      <c r="P93" s="364"/>
      <c r="Q93" s="364"/>
      <c r="R93" s="364"/>
      <c r="S93" s="364"/>
      <c r="T93" s="364"/>
      <c r="U93" s="364"/>
      <c r="V93" s="17"/>
      <c r="W93"/>
      <c r="X93"/>
      <c r="Y93"/>
      <c r="Z93"/>
      <c r="AA93"/>
      <c r="AB93"/>
      <c r="AC93"/>
      <c r="AD93"/>
      <c r="AE93"/>
      <c r="AF93"/>
    </row>
    <row r="94" spans="1:32" ht="14.1" customHeight="1" x14ac:dyDescent="0.15">
      <c r="A94" s="134"/>
      <c r="B94" s="365" t="s">
        <v>904</v>
      </c>
      <c r="C94" s="365"/>
      <c r="D94" s="365"/>
      <c r="E94" s="365"/>
      <c r="F94" s="365"/>
      <c r="G94" s="365"/>
      <c r="H94" s="365"/>
      <c r="I94" s="365"/>
      <c r="J94" s="365"/>
      <c r="K94" s="134"/>
      <c r="L94" s="17"/>
      <c r="M94" s="365" t="s">
        <v>905</v>
      </c>
      <c r="N94" s="365"/>
      <c r="O94" s="365"/>
      <c r="P94" s="365"/>
      <c r="Q94" s="365"/>
      <c r="R94" s="365"/>
      <c r="S94" s="365"/>
      <c r="T94" s="365"/>
      <c r="U94" s="365"/>
      <c r="V94" s="17"/>
      <c r="W94"/>
      <c r="X94"/>
      <c r="Y94"/>
      <c r="Z94"/>
      <c r="AA94"/>
      <c r="AB94"/>
      <c r="AC94"/>
      <c r="AD94"/>
      <c r="AE94"/>
      <c r="AF94"/>
    </row>
    <row r="95" spans="1:32" ht="14.1" customHeight="1" x14ac:dyDescent="0.15">
      <c r="A95" s="135"/>
      <c r="B95" s="135"/>
      <c r="C95" s="135"/>
      <c r="D95" s="135"/>
      <c r="E95" s="135"/>
      <c r="F95" s="135"/>
      <c r="G95" s="135"/>
      <c r="H95" s="135"/>
      <c r="I95" s="135"/>
      <c r="J95" s="135"/>
      <c r="K95" s="134"/>
      <c r="L95" s="17"/>
      <c r="M95" s="17"/>
      <c r="N95" s="17"/>
      <c r="O95" s="17"/>
      <c r="P95" s="17"/>
      <c r="Q95" s="17"/>
      <c r="R95" s="17"/>
      <c r="S95" s="17"/>
      <c r="T95" s="17"/>
      <c r="U95" s="17"/>
      <c r="V95" s="17"/>
      <c r="W95"/>
      <c r="X95"/>
      <c r="Y95"/>
      <c r="Z95"/>
      <c r="AA95"/>
      <c r="AB95"/>
      <c r="AC95"/>
      <c r="AD95"/>
      <c r="AE95"/>
      <c r="AF95"/>
    </row>
    <row r="96" spans="1:32" ht="14.1" customHeight="1" x14ac:dyDescent="0.15">
      <c r="A96"/>
      <c r="B96"/>
      <c r="C96"/>
      <c r="D96"/>
      <c r="E96"/>
      <c r="F96"/>
      <c r="G96"/>
      <c r="H96"/>
      <c r="I96"/>
      <c r="J96"/>
      <c r="K96"/>
      <c r="L96"/>
      <c r="M96"/>
      <c r="N96"/>
      <c r="O96"/>
      <c r="P96"/>
      <c r="Q96"/>
      <c r="R96"/>
      <c r="S96"/>
      <c r="T96"/>
      <c r="U96"/>
      <c r="V96"/>
      <c r="W96"/>
      <c r="X96"/>
      <c r="Y96"/>
      <c r="Z96"/>
      <c r="AA96"/>
      <c r="AB96"/>
      <c r="AC96"/>
      <c r="AD96"/>
      <c r="AE96"/>
      <c r="AF96"/>
    </row>
    <row r="97" spans="1:32" ht="14.1" customHeight="1" x14ac:dyDescent="0.15">
      <c r="A97"/>
      <c r="B97"/>
      <c r="C97"/>
      <c r="D97"/>
      <c r="E97"/>
      <c r="F97"/>
      <c r="G97"/>
      <c r="H97"/>
      <c r="I97"/>
      <c r="J97"/>
      <c r="K97"/>
      <c r="L97"/>
      <c r="M97"/>
      <c r="N97"/>
      <c r="O97"/>
      <c r="P97"/>
      <c r="Q97"/>
      <c r="R97"/>
      <c r="S97"/>
      <c r="T97"/>
      <c r="U97"/>
      <c r="V97"/>
      <c r="W97"/>
      <c r="X97"/>
      <c r="Y97"/>
      <c r="Z97"/>
      <c r="AA97"/>
      <c r="AB97"/>
      <c r="AC97"/>
      <c r="AD97"/>
      <c r="AE97"/>
      <c r="AF97"/>
    </row>
    <row r="98" spans="1:32" ht="14.1" customHeight="1" x14ac:dyDescent="0.15">
      <c r="A98"/>
      <c r="B98"/>
      <c r="C98"/>
      <c r="D98"/>
      <c r="E98"/>
      <c r="F98"/>
      <c r="G98"/>
      <c r="H98"/>
      <c r="I98"/>
      <c r="J98"/>
      <c r="K98"/>
      <c r="L98"/>
      <c r="M98"/>
      <c r="N98"/>
      <c r="O98"/>
      <c r="P98"/>
      <c r="Q98"/>
      <c r="R98"/>
      <c r="S98"/>
      <c r="T98"/>
      <c r="U98"/>
      <c r="V98"/>
      <c r="W98"/>
      <c r="X98"/>
      <c r="Y98"/>
      <c r="Z98"/>
      <c r="AA98"/>
      <c r="AB98"/>
      <c r="AC98"/>
      <c r="AD98"/>
      <c r="AE98"/>
      <c r="AF98"/>
    </row>
    <row r="99" spans="1:32" ht="14.1" customHeight="1" x14ac:dyDescent="0.15">
      <c r="A99"/>
      <c r="B99"/>
      <c r="C99"/>
      <c r="D99"/>
      <c r="E99"/>
      <c r="F99"/>
      <c r="G99"/>
      <c r="H99"/>
      <c r="I99"/>
      <c r="J99"/>
      <c r="K99"/>
      <c r="L99"/>
      <c r="M99"/>
      <c r="N99"/>
      <c r="O99"/>
      <c r="P99"/>
      <c r="Q99"/>
      <c r="R99"/>
      <c r="S99"/>
      <c r="T99"/>
      <c r="U99"/>
      <c r="V99"/>
      <c r="W99"/>
      <c r="X99"/>
      <c r="Y99"/>
      <c r="Z99"/>
      <c r="AA99"/>
      <c r="AB99"/>
      <c r="AC99"/>
      <c r="AD99"/>
      <c r="AE99"/>
      <c r="AF99"/>
    </row>
    <row r="100" spans="1:32" ht="14.1" customHeight="1" x14ac:dyDescent="0.15">
      <c r="A100"/>
      <c r="B100"/>
      <c r="C100"/>
      <c r="D100"/>
      <c r="E100"/>
      <c r="F100"/>
      <c r="G100"/>
      <c r="H100"/>
      <c r="I100"/>
      <c r="J100"/>
      <c r="K100"/>
      <c r="L100"/>
      <c r="M100"/>
      <c r="N100"/>
      <c r="O100"/>
      <c r="P100"/>
      <c r="Q100"/>
      <c r="R100"/>
      <c r="S100"/>
      <c r="T100"/>
      <c r="U100"/>
      <c r="V100"/>
      <c r="W100"/>
      <c r="X100"/>
      <c r="Y100"/>
      <c r="Z100"/>
      <c r="AA100"/>
      <c r="AB100"/>
      <c r="AC100"/>
      <c r="AD100"/>
      <c r="AE100"/>
      <c r="AF100"/>
    </row>
    <row r="101" spans="1:32" ht="14.1" customHeight="1" x14ac:dyDescent="0.15">
      <c r="A101"/>
      <c r="B101"/>
      <c r="C101"/>
      <c r="D101"/>
      <c r="E101"/>
      <c r="F101"/>
      <c r="G101"/>
      <c r="H101"/>
      <c r="I101"/>
      <c r="J101"/>
      <c r="K101"/>
      <c r="L101"/>
      <c r="M101"/>
      <c r="N101"/>
      <c r="O101"/>
      <c r="P101"/>
      <c r="Q101"/>
      <c r="R101"/>
      <c r="S101"/>
      <c r="T101"/>
      <c r="U101"/>
      <c r="V101"/>
      <c r="W101"/>
      <c r="X101"/>
      <c r="Y101"/>
      <c r="Z101"/>
      <c r="AA101"/>
      <c r="AB101"/>
      <c r="AC101"/>
      <c r="AD101"/>
      <c r="AE101"/>
      <c r="AF101"/>
    </row>
    <row r="102" spans="1:32" ht="14.1" customHeight="1" x14ac:dyDescent="0.15">
      <c r="A102"/>
      <c r="B102"/>
      <c r="C102"/>
      <c r="D102"/>
      <c r="E102"/>
      <c r="F102"/>
      <c r="G102"/>
      <c r="H102"/>
      <c r="I102"/>
      <c r="J102"/>
      <c r="K102"/>
      <c r="L102"/>
      <c r="M102"/>
      <c r="N102"/>
      <c r="O102"/>
      <c r="P102"/>
      <c r="Q102"/>
      <c r="R102"/>
      <c r="S102"/>
      <c r="T102"/>
      <c r="U102"/>
      <c r="V102"/>
      <c r="W102"/>
      <c r="X102"/>
      <c r="Y102"/>
      <c r="Z102"/>
      <c r="AA102"/>
      <c r="AB102"/>
      <c r="AC102"/>
      <c r="AD102"/>
      <c r="AE102"/>
      <c r="AF102"/>
    </row>
    <row r="103" spans="1:32" ht="14.1" customHeight="1" x14ac:dyDescent="0.15">
      <c r="A103"/>
      <c r="B103"/>
      <c r="C103"/>
      <c r="D103"/>
      <c r="E103"/>
      <c r="F103"/>
      <c r="G103"/>
      <c r="H103"/>
      <c r="I103"/>
      <c r="J103"/>
      <c r="K103"/>
      <c r="L103"/>
      <c r="M103"/>
      <c r="N103"/>
      <c r="O103"/>
      <c r="P103"/>
      <c r="Q103"/>
      <c r="R103"/>
      <c r="S103"/>
      <c r="T103"/>
      <c r="U103"/>
      <c r="V103"/>
      <c r="W103"/>
      <c r="X103"/>
      <c r="Y103"/>
      <c r="Z103"/>
      <c r="AA103"/>
      <c r="AB103"/>
      <c r="AC103"/>
      <c r="AD103"/>
      <c r="AE103"/>
      <c r="AF103"/>
    </row>
    <row r="104" spans="1:32" ht="14.1" customHeight="1" x14ac:dyDescent="0.15">
      <c r="A104"/>
      <c r="B104"/>
      <c r="C104"/>
      <c r="D104"/>
      <c r="E104"/>
      <c r="F104"/>
      <c r="G104"/>
      <c r="H104"/>
      <c r="I104"/>
      <c r="J104"/>
      <c r="K104"/>
      <c r="L104"/>
      <c r="M104"/>
      <c r="N104"/>
      <c r="O104"/>
      <c r="P104"/>
      <c r="Q104"/>
      <c r="R104"/>
      <c r="S104"/>
      <c r="T104"/>
      <c r="U104"/>
      <c r="V104"/>
      <c r="W104"/>
      <c r="X104"/>
      <c r="Y104"/>
      <c r="Z104"/>
      <c r="AA104"/>
      <c r="AB104"/>
      <c r="AC104"/>
      <c r="AD104"/>
      <c r="AE104"/>
      <c r="AF104"/>
    </row>
    <row r="105" spans="1:32" ht="14.1" customHeight="1" x14ac:dyDescent="0.15">
      <c r="A105"/>
      <c r="B105"/>
      <c r="C105"/>
      <c r="D105"/>
      <c r="E105"/>
      <c r="F105"/>
      <c r="G105"/>
      <c r="H105"/>
      <c r="I105"/>
      <c r="J105"/>
      <c r="K105"/>
      <c r="L105"/>
      <c r="M105"/>
      <c r="N105"/>
      <c r="O105"/>
      <c r="P105"/>
      <c r="Q105"/>
      <c r="R105"/>
      <c r="S105"/>
      <c r="T105"/>
      <c r="U105"/>
      <c r="V105"/>
      <c r="W105"/>
      <c r="X105"/>
      <c r="Y105"/>
      <c r="Z105"/>
      <c r="AA105"/>
      <c r="AB105"/>
      <c r="AC105"/>
      <c r="AD105"/>
      <c r="AE105"/>
      <c r="AF105"/>
    </row>
    <row r="106" spans="1:32" ht="14.1" customHeight="1" x14ac:dyDescent="0.15">
      <c r="A106"/>
      <c r="B106"/>
      <c r="C106"/>
      <c r="D106"/>
      <c r="E106"/>
      <c r="F106"/>
      <c r="G106"/>
      <c r="H106"/>
      <c r="I106"/>
      <c r="J106"/>
      <c r="K106"/>
      <c r="L106"/>
      <c r="M106"/>
      <c r="N106"/>
      <c r="O106"/>
      <c r="P106"/>
      <c r="Q106"/>
      <c r="R106"/>
      <c r="S106"/>
      <c r="T106"/>
      <c r="U106"/>
      <c r="V106"/>
      <c r="W106"/>
      <c r="X106"/>
      <c r="Y106"/>
      <c r="Z106"/>
      <c r="AA106"/>
      <c r="AB106"/>
      <c r="AC106"/>
      <c r="AD106"/>
      <c r="AE106"/>
      <c r="AF106"/>
    </row>
    <row r="107" spans="1:32" ht="14.1" customHeight="1" x14ac:dyDescent="0.15">
      <c r="A107"/>
      <c r="B107"/>
      <c r="C107"/>
      <c r="D107"/>
      <c r="E107"/>
      <c r="F107"/>
      <c r="G107"/>
      <c r="H107"/>
      <c r="I107"/>
      <c r="J107"/>
      <c r="K107"/>
      <c r="L107"/>
      <c r="M107"/>
      <c r="N107"/>
      <c r="O107"/>
      <c r="P107"/>
      <c r="Q107"/>
      <c r="R107"/>
      <c r="S107"/>
      <c r="T107"/>
      <c r="U107"/>
      <c r="V107"/>
      <c r="W107"/>
      <c r="X107"/>
      <c r="Y107"/>
      <c r="Z107"/>
      <c r="AA107"/>
      <c r="AB107"/>
      <c r="AC107"/>
      <c r="AD107"/>
      <c r="AE107"/>
      <c r="AF107"/>
    </row>
    <row r="108" spans="1:32" ht="14.1" customHeight="1" x14ac:dyDescent="0.15">
      <c r="A108"/>
      <c r="B108"/>
      <c r="C108"/>
      <c r="D108"/>
      <c r="E108"/>
      <c r="F108"/>
      <c r="G108"/>
      <c r="H108"/>
      <c r="I108"/>
      <c r="J108"/>
      <c r="K108"/>
      <c r="L108"/>
      <c r="M108"/>
      <c r="N108"/>
      <c r="O108"/>
      <c r="P108"/>
      <c r="Q108"/>
      <c r="R108"/>
      <c r="S108"/>
      <c r="T108"/>
      <c r="U108"/>
      <c r="V108"/>
      <c r="W108"/>
      <c r="X108"/>
      <c r="Y108"/>
      <c r="Z108"/>
      <c r="AA108"/>
      <c r="AB108"/>
      <c r="AC108"/>
      <c r="AD108"/>
      <c r="AE108"/>
      <c r="AF108"/>
    </row>
    <row r="109" spans="1:32" ht="14.1" customHeight="1" x14ac:dyDescent="0.15">
      <c r="A109"/>
      <c r="B109"/>
      <c r="C109"/>
      <c r="D109"/>
      <c r="E109"/>
      <c r="F109"/>
      <c r="G109"/>
      <c r="H109"/>
      <c r="I109"/>
      <c r="J109"/>
      <c r="K109"/>
      <c r="L109"/>
      <c r="M109"/>
      <c r="N109"/>
      <c r="O109"/>
      <c r="P109"/>
      <c r="Q109"/>
      <c r="R109"/>
      <c r="S109"/>
      <c r="T109"/>
      <c r="U109"/>
      <c r="V109"/>
      <c r="W109"/>
      <c r="X109"/>
      <c r="Y109"/>
      <c r="Z109"/>
      <c r="AA109"/>
      <c r="AB109"/>
      <c r="AC109"/>
      <c r="AD109"/>
      <c r="AE109"/>
      <c r="AF109"/>
    </row>
    <row r="110" spans="1:32" ht="14.1" customHeight="1" x14ac:dyDescent="0.15">
      <c r="A110"/>
      <c r="B110"/>
      <c r="C110"/>
      <c r="D110"/>
      <c r="E110"/>
      <c r="F110"/>
      <c r="G110"/>
      <c r="H110"/>
      <c r="I110"/>
      <c r="J110"/>
      <c r="K110"/>
      <c r="L110"/>
      <c r="M110"/>
      <c r="N110"/>
      <c r="O110"/>
      <c r="P110"/>
      <c r="Q110"/>
      <c r="R110"/>
      <c r="S110"/>
      <c r="T110"/>
      <c r="U110"/>
      <c r="V110"/>
      <c r="W110"/>
      <c r="X110"/>
      <c r="Y110"/>
      <c r="Z110"/>
      <c r="AA110"/>
      <c r="AB110"/>
      <c r="AC110"/>
      <c r="AD110"/>
      <c r="AE110"/>
      <c r="AF110"/>
    </row>
    <row r="111" spans="1:32" ht="14.1" customHeight="1" x14ac:dyDescent="0.15">
      <c r="A111"/>
      <c r="B111"/>
      <c r="C111"/>
      <c r="D111"/>
      <c r="E111"/>
      <c r="F111"/>
      <c r="G111"/>
      <c r="H111"/>
      <c r="I111"/>
      <c r="J111"/>
      <c r="K111"/>
      <c r="L111"/>
      <c r="M111"/>
      <c r="N111"/>
      <c r="O111"/>
      <c r="P111"/>
      <c r="Q111"/>
      <c r="R111"/>
      <c r="S111"/>
      <c r="T111"/>
      <c r="U111"/>
      <c r="V111"/>
      <c r="W111"/>
      <c r="X111"/>
      <c r="Y111"/>
      <c r="Z111"/>
      <c r="AA111"/>
      <c r="AB111"/>
      <c r="AC111"/>
      <c r="AD111"/>
      <c r="AE111"/>
      <c r="AF111"/>
    </row>
    <row r="112" spans="1:32" ht="14.1" customHeight="1" x14ac:dyDescent="0.15">
      <c r="A112"/>
      <c r="B112"/>
      <c r="C112"/>
      <c r="D112"/>
      <c r="E112"/>
      <c r="F112"/>
      <c r="G112"/>
      <c r="H112"/>
      <c r="I112"/>
      <c r="J112"/>
      <c r="K112"/>
      <c r="L112"/>
      <c r="M112"/>
      <c r="N112"/>
      <c r="O112"/>
      <c r="P112"/>
      <c r="Q112"/>
      <c r="R112"/>
      <c r="S112"/>
      <c r="T112"/>
      <c r="U112"/>
      <c r="V112"/>
      <c r="W112"/>
      <c r="X112"/>
      <c r="Y112"/>
      <c r="Z112"/>
      <c r="AA112"/>
      <c r="AB112"/>
      <c r="AC112"/>
      <c r="AD112"/>
      <c r="AE112"/>
      <c r="AF112"/>
    </row>
    <row r="113" spans="1:32" ht="14.1" customHeight="1" x14ac:dyDescent="0.15">
      <c r="A113"/>
      <c r="B113"/>
      <c r="C113"/>
      <c r="D113"/>
      <c r="E113"/>
      <c r="F113"/>
      <c r="G113"/>
      <c r="H113"/>
      <c r="I113"/>
      <c r="J113"/>
      <c r="K113"/>
      <c r="L113"/>
      <c r="M113"/>
      <c r="N113"/>
      <c r="O113"/>
      <c r="P113"/>
      <c r="Q113"/>
      <c r="R113"/>
      <c r="S113"/>
      <c r="T113"/>
      <c r="U113"/>
      <c r="V113"/>
      <c r="W113"/>
      <c r="X113"/>
      <c r="Y113"/>
      <c r="Z113"/>
      <c r="AA113"/>
      <c r="AB113"/>
      <c r="AC113"/>
      <c r="AD113"/>
      <c r="AE113"/>
      <c r="AF113"/>
    </row>
    <row r="114" spans="1:32" ht="14.1" customHeight="1" x14ac:dyDescent="0.15">
      <c r="A114"/>
      <c r="B114"/>
      <c r="C114"/>
      <c r="D114"/>
      <c r="E114"/>
      <c r="F114"/>
      <c r="G114"/>
      <c r="H114"/>
      <c r="I114"/>
      <c r="J114"/>
      <c r="K114"/>
      <c r="L114"/>
      <c r="M114"/>
      <c r="N114"/>
      <c r="O114"/>
      <c r="P114"/>
      <c r="Q114"/>
      <c r="R114"/>
      <c r="S114"/>
      <c r="T114"/>
      <c r="U114"/>
      <c r="V114"/>
      <c r="W114"/>
      <c r="X114"/>
      <c r="Y114"/>
      <c r="Z114"/>
      <c r="AA114"/>
      <c r="AB114"/>
      <c r="AC114"/>
      <c r="AD114"/>
      <c r="AE114"/>
      <c r="AF114"/>
    </row>
    <row r="115" spans="1:32" ht="14.1" customHeight="1" x14ac:dyDescent="0.15">
      <c r="A115"/>
      <c r="B115"/>
      <c r="C115"/>
      <c r="D115"/>
      <c r="E115"/>
      <c r="F115"/>
      <c r="G115"/>
      <c r="H115"/>
      <c r="I115"/>
      <c r="J115"/>
      <c r="K115"/>
      <c r="L115"/>
      <c r="M115"/>
      <c r="N115"/>
      <c r="O115"/>
      <c r="P115"/>
      <c r="Q115"/>
      <c r="R115"/>
      <c r="S115"/>
      <c r="T115"/>
      <c r="U115"/>
      <c r="V115"/>
      <c r="W115"/>
      <c r="X115"/>
      <c r="Y115"/>
      <c r="Z115"/>
      <c r="AA115"/>
      <c r="AB115"/>
      <c r="AC115"/>
      <c r="AD115"/>
      <c r="AE115"/>
      <c r="AF115"/>
    </row>
    <row r="116" spans="1:32" ht="14.1" customHeight="1" x14ac:dyDescent="0.15">
      <c r="A116"/>
      <c r="B116"/>
      <c r="C116"/>
      <c r="D116"/>
      <c r="E116"/>
      <c r="F116"/>
      <c r="G116"/>
      <c r="H116"/>
      <c r="I116"/>
      <c r="J116"/>
      <c r="K116"/>
      <c r="L116"/>
      <c r="M116"/>
      <c r="N116"/>
      <c r="O116"/>
      <c r="P116"/>
      <c r="Q116"/>
      <c r="R116"/>
      <c r="S116"/>
      <c r="T116"/>
      <c r="U116"/>
      <c r="V116"/>
      <c r="W116"/>
      <c r="X116"/>
      <c r="Y116"/>
      <c r="Z116"/>
      <c r="AA116"/>
      <c r="AB116"/>
      <c r="AC116"/>
      <c r="AD116"/>
      <c r="AE116"/>
      <c r="AF116"/>
    </row>
    <row r="117" spans="1:32" ht="14.1" customHeight="1" x14ac:dyDescent="0.15">
      <c r="A117"/>
      <c r="B117"/>
      <c r="C117"/>
      <c r="D117"/>
      <c r="E117"/>
      <c r="F117"/>
      <c r="G117"/>
      <c r="H117"/>
      <c r="I117"/>
      <c r="J117"/>
      <c r="K117"/>
      <c r="L117"/>
      <c r="M117"/>
      <c r="N117"/>
      <c r="O117"/>
      <c r="P117"/>
      <c r="Q117"/>
      <c r="R117"/>
      <c r="S117"/>
      <c r="T117"/>
      <c r="U117"/>
      <c r="V117"/>
      <c r="W117"/>
      <c r="X117"/>
      <c r="Y117"/>
      <c r="Z117"/>
      <c r="AA117"/>
      <c r="AB117"/>
      <c r="AC117"/>
      <c r="AD117"/>
      <c r="AE117"/>
      <c r="AF117"/>
    </row>
    <row r="118" spans="1:32" ht="14.1" customHeight="1" x14ac:dyDescent="0.15">
      <c r="A118"/>
      <c r="B118"/>
      <c r="C118"/>
      <c r="D118"/>
      <c r="E118"/>
      <c r="F118"/>
      <c r="G118"/>
      <c r="H118"/>
      <c r="I118"/>
      <c r="J118"/>
      <c r="K118"/>
      <c r="L118"/>
      <c r="M118"/>
      <c r="N118"/>
      <c r="O118"/>
      <c r="P118"/>
      <c r="Q118"/>
      <c r="R118"/>
      <c r="S118"/>
      <c r="T118"/>
      <c r="U118"/>
      <c r="V118"/>
      <c r="W118"/>
      <c r="X118"/>
      <c r="Y118"/>
      <c r="Z118"/>
      <c r="AA118"/>
      <c r="AB118"/>
      <c r="AC118"/>
      <c r="AD118"/>
      <c r="AE118"/>
      <c r="AF118"/>
    </row>
    <row r="119" spans="1:32" ht="14.1" customHeight="1" x14ac:dyDescent="0.15">
      <c r="A119"/>
      <c r="B119"/>
      <c r="C119"/>
      <c r="D119"/>
      <c r="E119"/>
      <c r="F119"/>
      <c r="G119"/>
      <c r="H119"/>
      <c r="I119"/>
      <c r="J119"/>
      <c r="K119"/>
      <c r="L119"/>
      <c r="M119"/>
      <c r="N119"/>
      <c r="O119"/>
      <c r="P119"/>
      <c r="Q119"/>
      <c r="R119"/>
      <c r="S119"/>
      <c r="T119"/>
      <c r="U119"/>
      <c r="V119"/>
      <c r="W119"/>
      <c r="X119"/>
      <c r="Y119"/>
      <c r="Z119"/>
      <c r="AA119"/>
      <c r="AB119"/>
      <c r="AC119"/>
      <c r="AD119"/>
      <c r="AE119"/>
      <c r="AF119"/>
    </row>
    <row r="120" spans="1:32" ht="14.1" customHeight="1" x14ac:dyDescent="0.15">
      <c r="A120"/>
      <c r="B120"/>
      <c r="C120"/>
      <c r="D120"/>
      <c r="E120"/>
      <c r="F120"/>
      <c r="G120"/>
      <c r="H120"/>
      <c r="I120"/>
      <c r="J120"/>
      <c r="K120"/>
      <c r="L120"/>
      <c r="M120"/>
      <c r="N120"/>
      <c r="O120"/>
      <c r="P120"/>
      <c r="Q120"/>
      <c r="R120"/>
      <c r="S120"/>
      <c r="T120"/>
      <c r="U120"/>
      <c r="V120"/>
      <c r="W120"/>
      <c r="X120"/>
      <c r="Y120"/>
      <c r="Z120"/>
      <c r="AA120"/>
      <c r="AB120"/>
      <c r="AC120"/>
      <c r="AD120"/>
      <c r="AE120"/>
      <c r="AF120"/>
    </row>
    <row r="121" spans="1:32" ht="14.1" customHeight="1" x14ac:dyDescent="0.15">
      <c r="A121"/>
      <c r="B121"/>
      <c r="C121"/>
      <c r="D121"/>
      <c r="E121"/>
      <c r="F121"/>
      <c r="G121"/>
      <c r="H121"/>
      <c r="I121"/>
      <c r="J121"/>
      <c r="K121"/>
      <c r="L121"/>
      <c r="M121"/>
      <c r="N121"/>
      <c r="O121"/>
      <c r="P121"/>
      <c r="Q121"/>
      <c r="R121"/>
      <c r="S121"/>
      <c r="T121"/>
      <c r="U121"/>
      <c r="V121"/>
      <c r="W121"/>
      <c r="X121"/>
      <c r="Y121"/>
      <c r="Z121"/>
      <c r="AA121"/>
      <c r="AB121"/>
      <c r="AC121"/>
      <c r="AD121"/>
      <c r="AE121"/>
      <c r="AF121"/>
    </row>
    <row r="122" spans="1:32" ht="14.1" customHeight="1" x14ac:dyDescent="0.15">
      <c r="A122"/>
      <c r="B122"/>
      <c r="C122"/>
      <c r="D122"/>
      <c r="E122"/>
      <c r="F122"/>
      <c r="G122"/>
      <c r="H122"/>
      <c r="I122"/>
      <c r="J122"/>
      <c r="K122"/>
      <c r="L122"/>
      <c r="M122"/>
      <c r="N122"/>
      <c r="O122"/>
      <c r="P122"/>
      <c r="Q122"/>
      <c r="R122"/>
      <c r="S122"/>
      <c r="T122"/>
      <c r="U122"/>
      <c r="V122"/>
      <c r="W122"/>
      <c r="X122"/>
      <c r="Y122"/>
      <c r="Z122"/>
      <c r="AA122"/>
      <c r="AB122"/>
      <c r="AC122"/>
      <c r="AD122"/>
      <c r="AE122"/>
      <c r="AF122"/>
    </row>
    <row r="123" spans="1:32" ht="14.1" customHeight="1" x14ac:dyDescent="0.15">
      <c r="A123"/>
      <c r="B123"/>
      <c r="C123"/>
      <c r="D123"/>
      <c r="E123"/>
      <c r="F123"/>
      <c r="G123"/>
      <c r="H123"/>
      <c r="I123"/>
      <c r="J123"/>
      <c r="K123"/>
      <c r="L123"/>
      <c r="M123"/>
      <c r="N123"/>
      <c r="O123"/>
      <c r="P123"/>
      <c r="Q123"/>
      <c r="R123"/>
      <c r="S123"/>
      <c r="T123"/>
      <c r="U123"/>
      <c r="V123"/>
      <c r="W123"/>
      <c r="X123"/>
      <c r="Y123"/>
      <c r="Z123"/>
      <c r="AA123"/>
      <c r="AB123"/>
      <c r="AC123"/>
      <c r="AD123"/>
      <c r="AE123"/>
      <c r="AF123"/>
    </row>
    <row r="124" spans="1:32" ht="14.1" customHeight="1" x14ac:dyDescent="0.15">
      <c r="A124"/>
      <c r="B124"/>
      <c r="C124"/>
      <c r="D124"/>
      <c r="E124"/>
      <c r="F124"/>
      <c r="G124"/>
      <c r="H124"/>
      <c r="I124"/>
      <c r="J124"/>
      <c r="K124"/>
      <c r="L124"/>
      <c r="M124"/>
      <c r="N124"/>
      <c r="O124"/>
      <c r="P124"/>
      <c r="Q124"/>
    </row>
    <row r="125" spans="1:32" ht="14.1" customHeight="1" x14ac:dyDescent="0.15">
      <c r="A125"/>
      <c r="B125"/>
      <c r="C125"/>
      <c r="D125"/>
      <c r="E125"/>
      <c r="F125"/>
      <c r="G125"/>
      <c r="H125"/>
      <c r="I125"/>
      <c r="J125"/>
      <c r="K125"/>
      <c r="L125"/>
      <c r="M125"/>
      <c r="N125"/>
      <c r="O125"/>
      <c r="P125"/>
      <c r="Q125"/>
    </row>
    <row r="126" spans="1:32" ht="14.1" customHeight="1" x14ac:dyDescent="0.15">
      <c r="A126"/>
      <c r="B126"/>
      <c r="C126"/>
      <c r="D126"/>
      <c r="E126"/>
      <c r="F126"/>
      <c r="G126"/>
      <c r="H126"/>
      <c r="I126"/>
      <c r="J126"/>
      <c r="K126"/>
      <c r="L126"/>
      <c r="M126"/>
      <c r="N126"/>
      <c r="O126"/>
      <c r="P126"/>
      <c r="Q126"/>
    </row>
    <row r="127" spans="1:32" ht="14.1" customHeight="1" x14ac:dyDescent="0.15">
      <c r="A127"/>
      <c r="B127"/>
      <c r="C127"/>
      <c r="D127"/>
      <c r="E127"/>
      <c r="F127"/>
      <c r="G127"/>
      <c r="H127"/>
      <c r="I127"/>
      <c r="J127"/>
      <c r="K127"/>
      <c r="L127"/>
      <c r="M127"/>
      <c r="N127"/>
      <c r="O127"/>
      <c r="P127"/>
      <c r="Q127"/>
    </row>
    <row r="128" spans="1:32" ht="14.1" customHeight="1" x14ac:dyDescent="0.15">
      <c r="A128"/>
      <c r="B128"/>
      <c r="C128"/>
      <c r="D128"/>
      <c r="E128"/>
      <c r="F128"/>
      <c r="G128"/>
      <c r="H128"/>
      <c r="I128"/>
      <c r="J128"/>
      <c r="K128"/>
      <c r="L128"/>
      <c r="M128"/>
      <c r="N128"/>
      <c r="O128"/>
      <c r="P128"/>
      <c r="Q128"/>
    </row>
    <row r="129" spans="1:17" ht="14.1" customHeight="1" x14ac:dyDescent="0.15">
      <c r="A129"/>
      <c r="B129"/>
      <c r="C129"/>
      <c r="D129"/>
      <c r="E129"/>
      <c r="F129"/>
      <c r="G129"/>
      <c r="H129"/>
      <c r="I129"/>
      <c r="J129"/>
      <c r="K129"/>
      <c r="L129"/>
      <c r="M129"/>
      <c r="N129"/>
      <c r="O129"/>
      <c r="P129"/>
      <c r="Q129"/>
    </row>
    <row r="130" spans="1:17" ht="14.1" customHeight="1" x14ac:dyDescent="0.15">
      <c r="A130"/>
      <c r="B130"/>
      <c r="C130"/>
      <c r="D130"/>
      <c r="E130"/>
      <c r="F130"/>
      <c r="G130"/>
      <c r="H130"/>
      <c r="I130"/>
      <c r="J130"/>
      <c r="K130"/>
      <c r="L130"/>
      <c r="M130"/>
      <c r="N130"/>
      <c r="O130"/>
      <c r="P130"/>
      <c r="Q130"/>
    </row>
    <row r="131" spans="1:17" ht="14.1" customHeight="1" x14ac:dyDescent="0.15">
      <c r="A131"/>
      <c r="B131"/>
      <c r="C131"/>
      <c r="D131"/>
      <c r="E131"/>
      <c r="F131"/>
      <c r="G131"/>
      <c r="H131"/>
      <c r="I131"/>
      <c r="J131"/>
      <c r="K131"/>
      <c r="L131"/>
      <c r="M131"/>
      <c r="N131"/>
      <c r="O131"/>
      <c r="P131"/>
      <c r="Q131"/>
    </row>
  </sheetData>
  <sheetProtection selectLockedCells="1" selectUnlockedCells="1"/>
  <mergeCells count="184">
    <mergeCell ref="B2:J3"/>
    <mergeCell ref="M2:U5"/>
    <mergeCell ref="B4:C5"/>
    <mergeCell ref="D4:D5"/>
    <mergeCell ref="E4:F5"/>
    <mergeCell ref="G4:G5"/>
    <mergeCell ref="H4:I5"/>
    <mergeCell ref="J4:J5"/>
    <mergeCell ref="B8:G8"/>
    <mergeCell ref="M8:Q8"/>
    <mergeCell ref="R8:T8"/>
    <mergeCell ref="B19:G19"/>
    <mergeCell ref="M19:Q19"/>
    <mergeCell ref="R19:T19"/>
    <mergeCell ref="U9:U11"/>
    <mergeCell ref="B11:D11"/>
    <mergeCell ref="E11:G11"/>
    <mergeCell ref="H11:J11"/>
    <mergeCell ref="B12:B13"/>
    <mergeCell ref="C12:C13"/>
    <mergeCell ref="D12:D13"/>
    <mergeCell ref="M12:U12"/>
    <mergeCell ref="M13:U16"/>
    <mergeCell ref="B14:J14"/>
    <mergeCell ref="B9:G10"/>
    <mergeCell ref="H9:H10"/>
    <mergeCell ref="I9:I10"/>
    <mergeCell ref="J9:J10"/>
    <mergeCell ref="M9:Q11"/>
    <mergeCell ref="R9:T11"/>
    <mergeCell ref="B15:J16"/>
    <mergeCell ref="B17:J17"/>
    <mergeCell ref="M17:U17"/>
    <mergeCell ref="B26:J27"/>
    <mergeCell ref="B28:J28"/>
    <mergeCell ref="M28:U28"/>
    <mergeCell ref="B30:G30"/>
    <mergeCell ref="M30:Q30"/>
    <mergeCell ref="R30:T30"/>
    <mergeCell ref="U20:U22"/>
    <mergeCell ref="B22:D22"/>
    <mergeCell ref="E22:G22"/>
    <mergeCell ref="H22:J22"/>
    <mergeCell ref="B23:B24"/>
    <mergeCell ref="C23:C24"/>
    <mergeCell ref="D23:D24"/>
    <mergeCell ref="M23:U23"/>
    <mergeCell ref="M24:U27"/>
    <mergeCell ref="B25:J25"/>
    <mergeCell ref="B20:G21"/>
    <mergeCell ref="H20:H21"/>
    <mergeCell ref="I20:I21"/>
    <mergeCell ref="J20:J21"/>
    <mergeCell ref="M20:Q22"/>
    <mergeCell ref="R20:T22"/>
    <mergeCell ref="B37:J38"/>
    <mergeCell ref="B39:J39"/>
    <mergeCell ref="M39:U39"/>
    <mergeCell ref="B41:G41"/>
    <mergeCell ref="M41:Q41"/>
    <mergeCell ref="R41:T41"/>
    <mergeCell ref="U31:U33"/>
    <mergeCell ref="B33:D33"/>
    <mergeCell ref="E33:G33"/>
    <mergeCell ref="H33:J33"/>
    <mergeCell ref="B34:B35"/>
    <mergeCell ref="C34:C35"/>
    <mergeCell ref="D34:D35"/>
    <mergeCell ref="M34:U34"/>
    <mergeCell ref="M35:U38"/>
    <mergeCell ref="B36:J36"/>
    <mergeCell ref="B31:G32"/>
    <mergeCell ref="H31:H32"/>
    <mergeCell ref="I31:I32"/>
    <mergeCell ref="J31:J32"/>
    <mergeCell ref="M31:Q33"/>
    <mergeCell ref="R31:T33"/>
    <mergeCell ref="B48:J49"/>
    <mergeCell ref="B50:J50"/>
    <mergeCell ref="M50:U50"/>
    <mergeCell ref="B52:G52"/>
    <mergeCell ref="M52:Q52"/>
    <mergeCell ref="R52:T52"/>
    <mergeCell ref="U42:U44"/>
    <mergeCell ref="B44:D44"/>
    <mergeCell ref="E44:G44"/>
    <mergeCell ref="H44:J44"/>
    <mergeCell ref="B45:B46"/>
    <mergeCell ref="C45:C46"/>
    <mergeCell ref="D45:D46"/>
    <mergeCell ref="M45:U45"/>
    <mergeCell ref="M46:U49"/>
    <mergeCell ref="B47:J47"/>
    <mergeCell ref="B42:G43"/>
    <mergeCell ref="H42:H43"/>
    <mergeCell ref="I42:I43"/>
    <mergeCell ref="J42:J43"/>
    <mergeCell ref="M42:Q44"/>
    <mergeCell ref="R42:T44"/>
    <mergeCell ref="B59:J60"/>
    <mergeCell ref="B61:J61"/>
    <mergeCell ref="M61:U61"/>
    <mergeCell ref="B63:G63"/>
    <mergeCell ref="M63:Q63"/>
    <mergeCell ref="R63:T63"/>
    <mergeCell ref="U53:U55"/>
    <mergeCell ref="B55:D55"/>
    <mergeCell ref="E55:G55"/>
    <mergeCell ref="H55:J55"/>
    <mergeCell ref="B56:B57"/>
    <mergeCell ref="C56:C57"/>
    <mergeCell ref="D56:D57"/>
    <mergeCell ref="M56:U56"/>
    <mergeCell ref="M57:U60"/>
    <mergeCell ref="B58:J58"/>
    <mergeCell ref="B53:G54"/>
    <mergeCell ref="H53:H54"/>
    <mergeCell ref="I53:I54"/>
    <mergeCell ref="J53:J54"/>
    <mergeCell ref="M53:Q55"/>
    <mergeCell ref="R53:T55"/>
    <mergeCell ref="B70:J71"/>
    <mergeCell ref="B72:J72"/>
    <mergeCell ref="M72:U72"/>
    <mergeCell ref="B74:G74"/>
    <mergeCell ref="M74:Q74"/>
    <mergeCell ref="R74:T74"/>
    <mergeCell ref="U64:U66"/>
    <mergeCell ref="B66:D66"/>
    <mergeCell ref="E66:G66"/>
    <mergeCell ref="H66:J66"/>
    <mergeCell ref="B67:B68"/>
    <mergeCell ref="C67:C68"/>
    <mergeCell ref="D67:D68"/>
    <mergeCell ref="M67:U67"/>
    <mergeCell ref="M68:U71"/>
    <mergeCell ref="B69:J69"/>
    <mergeCell ref="B64:G65"/>
    <mergeCell ref="H64:H65"/>
    <mergeCell ref="I64:I65"/>
    <mergeCell ref="J64:J65"/>
    <mergeCell ref="M64:Q66"/>
    <mergeCell ref="R64:T66"/>
    <mergeCell ref="B81:J82"/>
    <mergeCell ref="B83:J83"/>
    <mergeCell ref="M83:U83"/>
    <mergeCell ref="B85:G85"/>
    <mergeCell ref="M85:Q85"/>
    <mergeCell ref="R85:T85"/>
    <mergeCell ref="U75:U77"/>
    <mergeCell ref="B77:D77"/>
    <mergeCell ref="E77:G77"/>
    <mergeCell ref="H77:J77"/>
    <mergeCell ref="B78:B79"/>
    <mergeCell ref="C78:C79"/>
    <mergeCell ref="D78:D79"/>
    <mergeCell ref="M78:U78"/>
    <mergeCell ref="M79:U82"/>
    <mergeCell ref="B80:J80"/>
    <mergeCell ref="B75:G76"/>
    <mergeCell ref="H75:H76"/>
    <mergeCell ref="I75:I76"/>
    <mergeCell ref="J75:J76"/>
    <mergeCell ref="M75:Q77"/>
    <mergeCell ref="R75:T77"/>
    <mergeCell ref="B92:J93"/>
    <mergeCell ref="B94:J94"/>
    <mergeCell ref="M94:U94"/>
    <mergeCell ref="U86:U88"/>
    <mergeCell ref="B88:D88"/>
    <mergeCell ref="E88:G88"/>
    <mergeCell ref="H88:J88"/>
    <mergeCell ref="B89:B90"/>
    <mergeCell ref="C89:C90"/>
    <mergeCell ref="D89:D90"/>
    <mergeCell ref="M89:U89"/>
    <mergeCell ref="M90:U93"/>
    <mergeCell ref="B91:J91"/>
    <mergeCell ref="B86:G87"/>
    <mergeCell ref="H86:H87"/>
    <mergeCell ref="I86:I87"/>
    <mergeCell ref="J86:J87"/>
    <mergeCell ref="M86:Q88"/>
    <mergeCell ref="R86:T88"/>
  </mergeCells>
  <phoneticPr fontId="53"/>
  <pageMargins left="0.78749999999999998" right="0.78749999999999998" top="1.0527777777777778" bottom="1.0527777777777778" header="0.78749999999999998" footer="0.78749999999999998"/>
  <pageSetup paperSize="9" firstPageNumber="0" orientation="portrait" horizontalDpi="300" verticalDpi="300"/>
  <headerFooter alignWithMargins="0">
    <oddHeader>&amp;C&amp;"Times New Roman,標準"&amp;12&amp;A</oddHeader>
    <oddFooter>&amp;C&amp;"Times New Roman,標準"&amp;12ページ &amp;P</oddFooter>
  </headerFooter>
  <extLst>
    <ext xmlns:x14="http://schemas.microsoft.com/office/spreadsheetml/2009/9/main" uri="{CCE6A557-97BC-4b89-ADB6-D9C93CAAB3DF}">
      <x14:dataValidations xmlns:xm="http://schemas.microsoft.com/office/excel/2006/main" count="7">
        <x14:dataValidation type="list" operator="equal" allowBlank="1">
          <x14:formula1>
            <xm:f>リスト!$Z$2:$Z$16</xm:f>
          </x14:formula1>
          <x14:formula2>
            <xm:f>0</xm:f>
          </x14:formula2>
          <xm:sqref>H12:I13 H23:I24 H34:I35 H45:I46 H56:I57 H67:I68 H78:I79 H89:I90</xm:sqref>
        </x14:dataValidation>
        <x14:dataValidation type="list" operator="equal" allowBlank="1">
          <x14:formula1>
            <xm:f>リスト!$Z$2:$Z$16</xm:f>
          </x14:formula1>
          <x14:formula2>
            <xm:f>0</xm:f>
          </x14:formula2>
          <xm:sqref>J12:J13 J23:J24 J34:J35 J45:J46 J56:J57 J67:J68 J78:J79 J89:J90</xm:sqref>
        </x14:dataValidation>
        <x14:dataValidation type="list" operator="equal" allowBlank="1">
          <x14:formula1>
            <xm:f>リスト!$V$2:$V$8</xm:f>
          </x14:formula1>
          <x14:formula2>
            <xm:f>0</xm:f>
          </x14:formula2>
          <xm:sqref>B12:D12 B23:D23 B34:D34 B45:D45 B56:D56 B67:D67 B78:D78 B89:D89</xm:sqref>
        </x14:dataValidation>
        <x14:dataValidation type="list" operator="equal" allowBlank="1">
          <x14:formula1>
            <xm:f>リスト!$T$26:$T$33</xm:f>
          </x14:formula1>
          <x14:formula2>
            <xm:f>0</xm:f>
          </x14:formula2>
          <xm:sqref>H9 H20 H31 H42 H53 H64 H75 H86</xm:sqref>
        </x14:dataValidation>
        <x14:dataValidation type="list" operator="equal" allowBlank="1">
          <x14:formula1>
            <xm:f>リスト!$X$2:$X$46</xm:f>
          </x14:formula1>
          <x14:formula2>
            <xm:f>0</xm:f>
          </x14:formula2>
          <xm:sqref>E12:G13 E23:G24 E34:G35 E45:G46 E56:G57 E67:G68 E78:G79 E89:G90</xm:sqref>
        </x14:dataValidation>
        <x14:dataValidation type="list" operator="equal" allowBlank="1">
          <x14:formula1>
            <xm:f>リスト!$BC$2:$BC$153</xm:f>
          </x14:formula1>
          <x14:formula2>
            <xm:f>0</xm:f>
          </x14:formula2>
          <xm:sqref>S9:T11 S20:T22 S31:T33 S42:T44 S53:T55 S64:T66 S75:T77 S86:T88</xm:sqref>
        </x14:dataValidation>
        <x14:dataValidation type="list" operator="equal" allowBlank="1">
          <x14:formula1>
            <xm:f>リスト!$BC$2:$BC$156</xm:f>
          </x14:formula1>
          <x14:formula2>
            <xm:f>0</xm:f>
          </x14:formula2>
          <xm:sqref>R9 R20 R31 R42 R53 R64 R75 R86</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D116"/>
  <sheetViews>
    <sheetView zoomScale="80" zoomScaleNormal="80" workbookViewId="0">
      <selection activeCell="K2" sqref="K2:M3"/>
    </sheetView>
  </sheetViews>
  <sheetFormatPr defaultColWidth="10.140625" defaultRowHeight="14.1" customHeight="1" x14ac:dyDescent="0.15"/>
  <cols>
    <col min="1" max="16384" width="10.140625" style="142"/>
  </cols>
  <sheetData>
    <row r="1" spans="1:30" ht="14.1" customHeight="1" x14ac:dyDescent="0.15">
      <c r="A1" s="143"/>
      <c r="B1" s="144"/>
      <c r="C1" s="144"/>
      <c r="D1" s="144"/>
      <c r="E1" s="144"/>
      <c r="F1" s="144"/>
      <c r="G1" s="144"/>
      <c r="H1" s="144"/>
      <c r="I1" s="144"/>
      <c r="J1" s="144"/>
      <c r="K1" s="144"/>
      <c r="L1" s="144"/>
      <c r="M1" s="144"/>
      <c r="N1" s="145"/>
      <c r="O1" s="134"/>
      <c r="P1" s="134"/>
      <c r="Q1" s="134"/>
      <c r="R1" s="134"/>
      <c r="S1" s="134"/>
      <c r="T1" s="134"/>
      <c r="U1" s="134"/>
      <c r="V1" s="134"/>
      <c r="W1" s="134"/>
      <c r="X1" s="134"/>
      <c r="Y1" s="134"/>
      <c r="Z1"/>
      <c r="AA1"/>
      <c r="AB1"/>
      <c r="AC1"/>
      <c r="AD1"/>
    </row>
    <row r="2" spans="1:30" ht="14.1" customHeight="1" x14ac:dyDescent="0.15">
      <c r="A2" s="144"/>
      <c r="B2" s="400" t="s">
        <v>906</v>
      </c>
      <c r="C2" s="400"/>
      <c r="D2" s="405"/>
      <c r="E2" s="405"/>
      <c r="F2" s="405"/>
      <c r="G2" s="405"/>
      <c r="H2" s="405"/>
      <c r="I2" s="403" t="s">
        <v>907</v>
      </c>
      <c r="J2" s="403"/>
      <c r="K2" s="406" t="s">
        <v>19</v>
      </c>
      <c r="L2" s="406"/>
      <c r="M2" s="406"/>
      <c r="N2" s="145"/>
      <c r="O2" s="134"/>
      <c r="P2" s="382" t="s">
        <v>895</v>
      </c>
      <c r="Q2" s="382"/>
      <c r="R2" s="382"/>
      <c r="S2" s="382"/>
      <c r="T2" s="382"/>
      <c r="U2" s="382"/>
      <c r="V2" s="382"/>
      <c r="W2" s="382"/>
      <c r="X2" s="382"/>
      <c r="Y2" s="134"/>
      <c r="Z2"/>
      <c r="AA2"/>
      <c r="AB2"/>
      <c r="AC2"/>
      <c r="AD2"/>
    </row>
    <row r="3" spans="1:30" ht="14.1" customHeight="1" x14ac:dyDescent="0.15">
      <c r="A3" s="144"/>
      <c r="B3" s="400"/>
      <c r="C3" s="400"/>
      <c r="D3" s="405"/>
      <c r="E3" s="405"/>
      <c r="F3" s="405"/>
      <c r="G3" s="405"/>
      <c r="H3" s="405"/>
      <c r="I3" s="403"/>
      <c r="J3" s="403"/>
      <c r="K3" s="406"/>
      <c r="L3" s="406"/>
      <c r="M3" s="406"/>
      <c r="N3" s="145"/>
      <c r="O3" s="134"/>
      <c r="P3" s="382"/>
      <c r="Q3" s="382"/>
      <c r="R3" s="382"/>
      <c r="S3" s="382"/>
      <c r="T3" s="382"/>
      <c r="U3" s="382"/>
      <c r="V3" s="382"/>
      <c r="W3" s="382"/>
      <c r="X3" s="382"/>
      <c r="Y3" s="134"/>
      <c r="Z3"/>
      <c r="AA3"/>
      <c r="AB3"/>
      <c r="AC3"/>
      <c r="AD3"/>
    </row>
    <row r="4" spans="1:30" ht="14.1" customHeight="1" x14ac:dyDescent="0.15">
      <c r="A4" s="144"/>
      <c r="B4" s="144"/>
      <c r="C4" s="144"/>
      <c r="D4" s="144"/>
      <c r="E4" s="144"/>
      <c r="F4" s="144"/>
      <c r="G4" s="144"/>
      <c r="H4" s="144"/>
      <c r="I4" s="144"/>
      <c r="J4" s="144"/>
      <c r="K4" s="144"/>
      <c r="L4" s="144"/>
      <c r="M4" s="144"/>
      <c r="N4" s="145"/>
      <c r="O4" s="134"/>
      <c r="P4" s="383" t="s">
        <v>794</v>
      </c>
      <c r="Q4" s="383"/>
      <c r="R4" s="384">
        <f>F23</f>
        <v>2</v>
      </c>
      <c r="S4" s="385" t="s">
        <v>897</v>
      </c>
      <c r="T4" s="385"/>
      <c r="U4" s="384">
        <f>ROUNDDOWN((C23)/2,0)</f>
        <v>3</v>
      </c>
      <c r="V4" s="385" t="s">
        <v>898</v>
      </c>
      <c r="W4" s="385"/>
      <c r="X4" s="386">
        <f>ROUNDDOWN((C23)/3,0)</f>
        <v>2</v>
      </c>
      <c r="Y4" s="134"/>
      <c r="Z4"/>
      <c r="AA4"/>
      <c r="AB4"/>
      <c r="AC4"/>
      <c r="AD4"/>
    </row>
    <row r="5" spans="1:30" ht="14.1" customHeight="1" x14ac:dyDescent="0.15">
      <c r="A5" s="144"/>
      <c r="B5" s="400" t="s">
        <v>908</v>
      </c>
      <c r="C5" s="400"/>
      <c r="D5" s="401">
        <v>0</v>
      </c>
      <c r="E5" s="145"/>
      <c r="F5" s="400" t="s">
        <v>909</v>
      </c>
      <c r="G5" s="400"/>
      <c r="H5" s="402">
        <f>C23</f>
        <v>6</v>
      </c>
      <c r="I5" s="402">
        <f>IF(L2="探索型",ROUNDDOWN(D23/3,0)+D23,D23)</f>
        <v>0</v>
      </c>
      <c r="J5" s="403" t="s">
        <v>910</v>
      </c>
      <c r="K5" s="403"/>
      <c r="L5" s="404" t="s">
        <v>19</v>
      </c>
      <c r="M5" s="404"/>
      <c r="N5" s="145"/>
      <c r="O5" s="135"/>
      <c r="P5" s="383"/>
      <c r="Q5" s="383"/>
      <c r="R5" s="384"/>
      <c r="S5" s="385"/>
      <c r="T5" s="385"/>
      <c r="U5" s="384"/>
      <c r="V5" s="385"/>
      <c r="W5" s="385"/>
      <c r="X5" s="386"/>
      <c r="Y5" s="134"/>
      <c r="Z5"/>
      <c r="AA5"/>
      <c r="AB5"/>
      <c r="AC5"/>
      <c r="AD5"/>
    </row>
    <row r="6" spans="1:30" ht="14.1" customHeight="1" x14ac:dyDescent="0.15">
      <c r="A6" s="144"/>
      <c r="B6" s="400"/>
      <c r="C6" s="400"/>
      <c r="D6" s="401"/>
      <c r="E6" s="145"/>
      <c r="F6" s="400"/>
      <c r="G6" s="400"/>
      <c r="H6" s="402"/>
      <c r="I6" s="402"/>
      <c r="J6" s="403"/>
      <c r="K6" s="403"/>
      <c r="L6" s="404"/>
      <c r="M6" s="404"/>
      <c r="N6" s="145"/>
      <c r="O6" s="135"/>
      <c r="P6" s="135"/>
      <c r="Q6" s="135"/>
      <c r="R6" s="135"/>
      <c r="S6" s="135"/>
      <c r="T6" s="135"/>
      <c r="U6" s="135"/>
      <c r="V6" s="135"/>
      <c r="W6" s="135"/>
      <c r="X6" s="135"/>
      <c r="Y6" s="134"/>
      <c r="Z6"/>
      <c r="AA6"/>
      <c r="AB6"/>
      <c r="AC6"/>
      <c r="AD6"/>
    </row>
    <row r="7" spans="1:30" ht="14.1" customHeight="1" x14ac:dyDescent="0.15">
      <c r="A7" s="144"/>
      <c r="B7" s="144"/>
      <c r="C7" s="144"/>
      <c r="D7" s="144"/>
      <c r="E7" s="144"/>
      <c r="F7" s="144"/>
      <c r="G7" s="144"/>
      <c r="H7" s="145"/>
      <c r="I7" s="144"/>
      <c r="J7" s="144"/>
      <c r="K7" s="144"/>
      <c r="L7" s="144"/>
      <c r="M7" s="144"/>
      <c r="N7" s="145"/>
      <c r="O7" s="134"/>
      <c r="P7" s="134"/>
      <c r="Q7" s="134"/>
      <c r="R7" s="134"/>
      <c r="S7" s="134"/>
      <c r="T7" s="134"/>
      <c r="U7" s="134"/>
      <c r="V7" s="134"/>
      <c r="W7" s="134"/>
      <c r="X7" s="134"/>
      <c r="Y7" s="134"/>
      <c r="Z7"/>
      <c r="AA7"/>
      <c r="AB7"/>
      <c r="AC7"/>
      <c r="AD7"/>
    </row>
    <row r="8" spans="1:30" ht="14.1" customHeight="1" x14ac:dyDescent="0.15">
      <c r="A8" s="144"/>
      <c r="B8" s="396" t="s">
        <v>764</v>
      </c>
      <c r="C8" s="396"/>
      <c r="D8" s="396"/>
      <c r="E8" s="144"/>
      <c r="F8" s="397" t="s">
        <v>911</v>
      </c>
      <c r="G8" s="397"/>
      <c r="H8" s="145"/>
      <c r="I8" s="398" t="s">
        <v>912</v>
      </c>
      <c r="J8" s="398"/>
      <c r="K8" s="398"/>
      <c r="L8" s="398"/>
      <c r="M8" s="398"/>
      <c r="N8" s="145"/>
      <c r="O8" s="134"/>
      <c r="P8" s="379" t="s">
        <v>899</v>
      </c>
      <c r="Q8" s="379"/>
      <c r="R8" s="379"/>
      <c r="S8" s="379"/>
      <c r="T8" s="379"/>
      <c r="U8" s="379"/>
      <c r="V8" s="136" t="s">
        <v>328</v>
      </c>
      <c r="W8" s="136" t="s">
        <v>900</v>
      </c>
      <c r="X8" s="137" t="s">
        <v>901</v>
      </c>
      <c r="Y8" s="135"/>
      <c r="Z8"/>
      <c r="AA8"/>
      <c r="AB8"/>
      <c r="AC8"/>
      <c r="AD8"/>
    </row>
    <row r="9" spans="1:30" ht="14.1" customHeight="1" x14ac:dyDescent="0.15">
      <c r="A9" s="144"/>
      <c r="B9" s="146"/>
      <c r="C9" s="147"/>
      <c r="D9" s="148" t="s">
        <v>913</v>
      </c>
      <c r="E9" s="144"/>
      <c r="F9" s="397"/>
      <c r="G9" s="397"/>
      <c r="H9" s="145"/>
      <c r="I9" s="399"/>
      <c r="J9" s="399"/>
      <c r="K9" s="399"/>
      <c r="L9" s="399"/>
      <c r="M9" s="399"/>
      <c r="N9" s="145"/>
      <c r="O9" s="134"/>
      <c r="P9" s="373"/>
      <c r="Q9" s="373"/>
      <c r="R9" s="373"/>
      <c r="S9" s="373"/>
      <c r="T9" s="373"/>
      <c r="U9" s="373"/>
      <c r="V9" s="374" t="s">
        <v>19</v>
      </c>
      <c r="W9" s="375"/>
      <c r="X9" s="376"/>
      <c r="Y9" s="134"/>
      <c r="Z9"/>
      <c r="AA9"/>
      <c r="AB9"/>
      <c r="AC9"/>
      <c r="AD9"/>
    </row>
    <row r="10" spans="1:30" ht="14.1" customHeight="1" x14ac:dyDescent="0.15">
      <c r="A10" s="144"/>
      <c r="B10" s="75" t="s">
        <v>767</v>
      </c>
      <c r="C10" s="149">
        <f>D5</f>
        <v>0</v>
      </c>
      <c r="D10" s="150"/>
      <c r="E10" s="144"/>
      <c r="F10" s="75" t="s">
        <v>914</v>
      </c>
      <c r="G10" s="151">
        <f>F23</f>
        <v>2</v>
      </c>
      <c r="H10" s="145"/>
      <c r="I10" s="399"/>
      <c r="J10" s="399"/>
      <c r="K10" s="399"/>
      <c r="L10" s="399"/>
      <c r="M10" s="399"/>
      <c r="N10" s="145"/>
      <c r="O10" s="135"/>
      <c r="P10" s="373"/>
      <c r="Q10" s="373"/>
      <c r="R10" s="373"/>
      <c r="S10" s="373"/>
      <c r="T10" s="373"/>
      <c r="U10" s="373"/>
      <c r="V10" s="374"/>
      <c r="W10" s="375"/>
      <c r="X10" s="376"/>
      <c r="Y10" s="135"/>
      <c r="Z10"/>
      <c r="AA10"/>
      <c r="AB10"/>
      <c r="AC10"/>
      <c r="AD10"/>
    </row>
    <row r="11" spans="1:30" ht="14.1" customHeight="1" x14ac:dyDescent="0.15">
      <c r="A11" s="144"/>
      <c r="B11" s="75" t="s">
        <v>884</v>
      </c>
      <c r="C11" s="149">
        <f>D5</f>
        <v>0</v>
      </c>
      <c r="D11" s="150"/>
      <c r="E11" s="144"/>
      <c r="F11" s="139"/>
      <c r="G11" s="141"/>
      <c r="H11" s="145"/>
      <c r="I11" s="399"/>
      <c r="J11" s="399"/>
      <c r="K11" s="399"/>
      <c r="L11" s="399"/>
      <c r="M11" s="399"/>
      <c r="N11" s="145"/>
      <c r="O11" s="134"/>
      <c r="P11" s="367" t="s">
        <v>9</v>
      </c>
      <c r="Q11" s="367"/>
      <c r="R11" s="367"/>
      <c r="S11" s="368" t="s">
        <v>10</v>
      </c>
      <c r="T11" s="368"/>
      <c r="U11" s="368"/>
      <c r="V11" s="369" t="s">
        <v>11</v>
      </c>
      <c r="W11" s="369"/>
      <c r="X11" s="369"/>
      <c r="Y11" s="134"/>
      <c r="Z11"/>
      <c r="AA11"/>
      <c r="AB11"/>
      <c r="AC11"/>
      <c r="AD11"/>
    </row>
    <row r="12" spans="1:30" ht="14.1" customHeight="1" x14ac:dyDescent="0.15">
      <c r="A12" s="144"/>
      <c r="B12" s="75" t="s">
        <v>806</v>
      </c>
      <c r="C12" s="149">
        <f>D5</f>
        <v>0</v>
      </c>
      <c r="D12" s="150"/>
      <c r="E12" s="144"/>
      <c r="F12" s="139"/>
      <c r="G12" s="141"/>
      <c r="H12" s="145"/>
      <c r="I12" s="399"/>
      <c r="J12" s="399"/>
      <c r="K12" s="399"/>
      <c r="L12" s="399"/>
      <c r="M12" s="399"/>
      <c r="N12" s="145"/>
      <c r="O12" s="135"/>
      <c r="P12" s="370" t="s">
        <v>19</v>
      </c>
      <c r="Q12" s="371" t="s">
        <v>19</v>
      </c>
      <c r="R12" s="371" t="s">
        <v>19</v>
      </c>
      <c r="S12" s="140" t="s">
        <v>19</v>
      </c>
      <c r="T12" s="140" t="s">
        <v>19</v>
      </c>
      <c r="U12" s="140" t="s">
        <v>19</v>
      </c>
      <c r="V12" s="140" t="s">
        <v>19</v>
      </c>
      <c r="W12" s="140" t="s">
        <v>19</v>
      </c>
      <c r="X12" s="141" t="s">
        <v>19</v>
      </c>
      <c r="Y12" s="135"/>
      <c r="Z12"/>
      <c r="AA12"/>
      <c r="AB12"/>
      <c r="AC12"/>
      <c r="AD12"/>
    </row>
    <row r="13" spans="1:30" ht="14.1" customHeight="1" x14ac:dyDescent="0.15">
      <c r="A13" s="144"/>
      <c r="B13" s="75" t="s">
        <v>812</v>
      </c>
      <c r="C13" s="149">
        <f>D5</f>
        <v>0</v>
      </c>
      <c r="D13" s="150"/>
      <c r="E13" s="144"/>
      <c r="F13" s="139"/>
      <c r="G13" s="141"/>
      <c r="H13" s="145"/>
      <c r="I13" s="399"/>
      <c r="J13" s="399"/>
      <c r="K13" s="399"/>
      <c r="L13" s="399"/>
      <c r="M13" s="399"/>
      <c r="N13" s="145"/>
      <c r="O13" s="134"/>
      <c r="P13" s="370"/>
      <c r="Q13" s="371"/>
      <c r="R13" s="371"/>
      <c r="S13" s="140" t="s">
        <v>19</v>
      </c>
      <c r="T13" s="140" t="s">
        <v>19</v>
      </c>
      <c r="U13" s="140" t="s">
        <v>19</v>
      </c>
      <c r="V13" s="140" t="s">
        <v>19</v>
      </c>
      <c r="W13" s="140" t="s">
        <v>19</v>
      </c>
      <c r="X13" s="141" t="s">
        <v>19</v>
      </c>
      <c r="Y13" s="134"/>
      <c r="Z13"/>
      <c r="AA13"/>
      <c r="AB13"/>
      <c r="AC13"/>
      <c r="AD13"/>
    </row>
    <row r="14" spans="1:30" ht="14.1" customHeight="1" x14ac:dyDescent="0.15">
      <c r="A14" s="144"/>
      <c r="B14" s="75" t="s">
        <v>786</v>
      </c>
      <c r="C14" s="149">
        <f>IF(K2="攻撃型",ROUNDDOWN(C23/3,0),0)</f>
        <v>0</v>
      </c>
      <c r="D14" s="150"/>
      <c r="E14" s="144"/>
      <c r="F14" s="139"/>
      <c r="G14" s="141"/>
      <c r="H14" s="145"/>
      <c r="I14" s="399"/>
      <c r="J14" s="399"/>
      <c r="K14" s="399"/>
      <c r="L14" s="399"/>
      <c r="M14" s="399"/>
      <c r="N14" s="145"/>
      <c r="O14" s="135"/>
      <c r="P14" s="372" t="s">
        <v>903</v>
      </c>
      <c r="Q14" s="372"/>
      <c r="R14" s="372"/>
      <c r="S14" s="372"/>
      <c r="T14" s="372"/>
      <c r="U14" s="372"/>
      <c r="V14" s="372"/>
      <c r="W14" s="372"/>
      <c r="X14" s="372"/>
      <c r="Y14" s="135"/>
      <c r="Z14"/>
      <c r="AA14"/>
      <c r="AB14"/>
      <c r="AC14"/>
      <c r="AD14"/>
    </row>
    <row r="15" spans="1:30" ht="14.1" customHeight="1" x14ac:dyDescent="0.15">
      <c r="A15" s="144"/>
      <c r="B15" s="75" t="s">
        <v>791</v>
      </c>
      <c r="C15" s="149">
        <f>IF(K2="攻撃型",ROUNDDOWN(C23/3,0),0)</f>
        <v>0</v>
      </c>
      <c r="D15" s="150"/>
      <c r="E15" s="144"/>
      <c r="F15" s="139"/>
      <c r="G15" s="141"/>
      <c r="H15" s="145"/>
      <c r="I15" s="399"/>
      <c r="J15" s="399"/>
      <c r="K15" s="399"/>
      <c r="L15" s="399"/>
      <c r="M15" s="399"/>
      <c r="N15" s="145"/>
      <c r="O15" s="134"/>
      <c r="P15" s="364"/>
      <c r="Q15" s="364"/>
      <c r="R15" s="364"/>
      <c r="S15" s="364"/>
      <c r="T15" s="364"/>
      <c r="U15" s="364"/>
      <c r="V15" s="364"/>
      <c r="W15" s="364"/>
      <c r="X15" s="364"/>
      <c r="Y15" s="134"/>
      <c r="Z15"/>
      <c r="AA15"/>
      <c r="AB15"/>
      <c r="AC15"/>
      <c r="AD15"/>
    </row>
    <row r="16" spans="1:30" ht="14.1" customHeight="1" x14ac:dyDescent="0.15">
      <c r="A16" s="144"/>
      <c r="B16" s="77" t="s">
        <v>793</v>
      </c>
      <c r="C16" s="152">
        <f>D5</f>
        <v>0</v>
      </c>
      <c r="D16" s="153"/>
      <c r="E16" s="144"/>
      <c r="F16" s="154"/>
      <c r="G16" s="155"/>
      <c r="H16" s="145"/>
      <c r="I16" s="399"/>
      <c r="J16" s="399"/>
      <c r="K16" s="399"/>
      <c r="L16" s="399"/>
      <c r="M16" s="399"/>
      <c r="N16" s="145"/>
      <c r="O16" s="135"/>
      <c r="P16" s="364"/>
      <c r="Q16" s="364"/>
      <c r="R16" s="364"/>
      <c r="S16" s="364"/>
      <c r="T16" s="364"/>
      <c r="U16" s="364"/>
      <c r="V16" s="364"/>
      <c r="W16" s="364"/>
      <c r="X16" s="364"/>
      <c r="Y16" s="135"/>
      <c r="Z16"/>
      <c r="AA16"/>
      <c r="AB16"/>
      <c r="AC16"/>
      <c r="AD16"/>
    </row>
    <row r="17" spans="1:30" ht="14.1" customHeight="1" x14ac:dyDescent="0.15">
      <c r="A17" s="144"/>
      <c r="B17" s="144"/>
      <c r="C17" s="144"/>
      <c r="D17" s="144"/>
      <c r="E17" s="156"/>
      <c r="F17" s="156"/>
      <c r="G17" s="156"/>
      <c r="H17" s="144"/>
      <c r="I17" s="399"/>
      <c r="J17" s="399"/>
      <c r="K17" s="399"/>
      <c r="L17" s="399"/>
      <c r="M17" s="399"/>
      <c r="N17" s="145"/>
      <c r="O17" s="135"/>
      <c r="P17" s="365" t="s">
        <v>904</v>
      </c>
      <c r="Q17" s="365"/>
      <c r="R17" s="365"/>
      <c r="S17" s="365"/>
      <c r="T17" s="365"/>
      <c r="U17" s="365"/>
      <c r="V17" s="365"/>
      <c r="W17" s="365"/>
      <c r="X17" s="365"/>
      <c r="Y17" s="134"/>
      <c r="Z17"/>
      <c r="AA17"/>
      <c r="AB17"/>
      <c r="AC17"/>
      <c r="AD17"/>
    </row>
    <row r="18" spans="1:30" ht="14.1" customHeight="1" x14ac:dyDescent="0.15">
      <c r="A18" s="144"/>
      <c r="B18" s="393" t="s">
        <v>799</v>
      </c>
      <c r="C18" s="393"/>
      <c r="D18" s="158" t="s">
        <v>915</v>
      </c>
      <c r="E18" s="144"/>
      <c r="F18" s="157" t="s">
        <v>916</v>
      </c>
      <c r="G18" s="159" t="s">
        <v>917</v>
      </c>
      <c r="H18" s="145"/>
      <c r="I18" s="399"/>
      <c r="J18" s="399"/>
      <c r="K18" s="399"/>
      <c r="L18" s="399"/>
      <c r="M18" s="399"/>
      <c r="N18" s="145"/>
      <c r="O18" s="134"/>
      <c r="P18" s="134"/>
      <c r="Q18" s="134"/>
      <c r="R18" s="134"/>
      <c r="S18" s="134"/>
      <c r="T18" s="134"/>
      <c r="U18" s="134"/>
      <c r="V18" s="134"/>
      <c r="W18" s="134"/>
      <c r="X18" s="134"/>
      <c r="Y18" s="135"/>
      <c r="Z18"/>
      <c r="AA18"/>
      <c r="AB18"/>
      <c r="AC18"/>
      <c r="AD18"/>
    </row>
    <row r="19" spans="1:30" ht="14.1" customHeight="1" x14ac:dyDescent="0.15">
      <c r="A19" s="144"/>
      <c r="B19" s="160">
        <f>キャラシート!G35</f>
        <v>2</v>
      </c>
      <c r="C19" s="161">
        <f>キャラシート!H35</f>
        <v>0</v>
      </c>
      <c r="D19" s="162">
        <f>IF(K2="攻撃型",ROUNDDOWN(C23/3,0),0)</f>
        <v>0</v>
      </c>
      <c r="E19" s="156"/>
      <c r="F19" s="163" t="str">
        <f>IF(K2="速度型","2D6","1D6")</f>
        <v>1D6</v>
      </c>
      <c r="G19" s="164" t="str">
        <f>IF(K2="探索型","2D6","1D6")</f>
        <v>1D6</v>
      </c>
      <c r="H19" s="145"/>
      <c r="I19" s="399"/>
      <c r="J19" s="399"/>
      <c r="K19" s="399"/>
      <c r="L19" s="399"/>
      <c r="M19" s="399"/>
      <c r="N19" s="145"/>
      <c r="O19" s="135"/>
      <c r="P19" s="379" t="s">
        <v>899</v>
      </c>
      <c r="Q19" s="379"/>
      <c r="R19" s="379"/>
      <c r="S19" s="379"/>
      <c r="T19" s="379"/>
      <c r="U19" s="379"/>
      <c r="V19" s="136" t="s">
        <v>328</v>
      </c>
      <c r="W19" s="136" t="s">
        <v>900</v>
      </c>
      <c r="X19" s="137" t="s">
        <v>901</v>
      </c>
      <c r="Y19" s="134"/>
      <c r="Z19"/>
      <c r="AA19"/>
      <c r="AB19"/>
      <c r="AC19"/>
      <c r="AD19"/>
    </row>
    <row r="20" spans="1:30" ht="14.1" customHeight="1" x14ac:dyDescent="0.15">
      <c r="A20" s="156"/>
      <c r="B20" s="156"/>
      <c r="C20" s="156"/>
      <c r="D20" s="156"/>
      <c r="E20" s="156"/>
      <c r="F20" s="156"/>
      <c r="G20" s="144"/>
      <c r="H20" s="145"/>
      <c r="I20" s="399"/>
      <c r="J20" s="399"/>
      <c r="K20" s="399"/>
      <c r="L20" s="399"/>
      <c r="M20" s="399"/>
      <c r="N20" s="145"/>
      <c r="O20" s="134"/>
      <c r="P20" s="373"/>
      <c r="Q20" s="373"/>
      <c r="R20" s="373"/>
      <c r="S20" s="373"/>
      <c r="T20" s="373"/>
      <c r="U20" s="373"/>
      <c r="V20" s="374" t="s">
        <v>19</v>
      </c>
      <c r="W20" s="375"/>
      <c r="X20" s="376"/>
      <c r="Y20" s="135"/>
      <c r="Z20"/>
      <c r="AA20"/>
      <c r="AB20"/>
      <c r="AC20"/>
      <c r="AD20"/>
    </row>
    <row r="21" spans="1:30" ht="14.1" customHeight="1" x14ac:dyDescent="0.15">
      <c r="A21" s="156"/>
      <c r="B21" s="394" t="s">
        <v>828</v>
      </c>
      <c r="C21" s="395"/>
      <c r="D21" s="395"/>
      <c r="E21" s="395"/>
      <c r="F21" s="395"/>
      <c r="G21" s="395"/>
      <c r="H21" s="145"/>
      <c r="I21" s="399"/>
      <c r="J21" s="399"/>
      <c r="K21" s="399"/>
      <c r="L21" s="399"/>
      <c r="M21" s="399"/>
      <c r="N21" s="145"/>
      <c r="O21" s="135"/>
      <c r="P21" s="373"/>
      <c r="Q21" s="373"/>
      <c r="R21" s="373"/>
      <c r="S21" s="373"/>
      <c r="T21" s="373"/>
      <c r="U21" s="373"/>
      <c r="V21" s="374"/>
      <c r="W21" s="375"/>
      <c r="X21" s="376"/>
      <c r="Y21" s="134"/>
      <c r="Z21"/>
      <c r="AA21"/>
      <c r="AB21"/>
      <c r="AC21"/>
      <c r="AD21"/>
    </row>
    <row r="22" spans="1:30" ht="14.1" customHeight="1" x14ac:dyDescent="0.15">
      <c r="A22" s="156"/>
      <c r="B22" s="394"/>
      <c r="C22" s="395"/>
      <c r="D22" s="395"/>
      <c r="E22" s="395"/>
      <c r="F22" s="395"/>
      <c r="G22" s="395"/>
      <c r="H22" s="145"/>
      <c r="I22" s="399"/>
      <c r="J22" s="399"/>
      <c r="K22" s="399"/>
      <c r="L22" s="399"/>
      <c r="M22" s="399"/>
      <c r="N22" s="145"/>
      <c r="O22" s="134"/>
      <c r="P22" s="367" t="s">
        <v>9</v>
      </c>
      <c r="Q22" s="367"/>
      <c r="R22" s="367"/>
      <c r="S22" s="368" t="s">
        <v>10</v>
      </c>
      <c r="T22" s="368"/>
      <c r="U22" s="368"/>
      <c r="V22" s="369" t="s">
        <v>11</v>
      </c>
      <c r="W22" s="369"/>
      <c r="X22" s="369"/>
      <c r="Y22" s="135"/>
      <c r="Z22"/>
      <c r="AA22"/>
      <c r="AB22"/>
      <c r="AC22"/>
      <c r="AD22"/>
    </row>
    <row r="23" spans="1:30" ht="14.1" customHeight="1" x14ac:dyDescent="0.15">
      <c r="A23" s="156"/>
      <c r="B23" s="19" t="s">
        <v>792</v>
      </c>
      <c r="C23" s="390">
        <f>キャラシート!H25</f>
        <v>6</v>
      </c>
      <c r="D23" s="390"/>
      <c r="E23" s="165" t="s">
        <v>794</v>
      </c>
      <c r="F23" s="391">
        <f>キャラシート!H27</f>
        <v>2</v>
      </c>
      <c r="G23" s="391"/>
      <c r="H23" s="145"/>
      <c r="I23" s="399"/>
      <c r="J23" s="399"/>
      <c r="K23" s="399"/>
      <c r="L23" s="399"/>
      <c r="M23" s="399"/>
      <c r="N23" s="145"/>
      <c r="O23" s="135"/>
      <c r="P23" s="370" t="s">
        <v>19</v>
      </c>
      <c r="Q23" s="371" t="s">
        <v>19</v>
      </c>
      <c r="R23" s="371" t="s">
        <v>19</v>
      </c>
      <c r="S23" s="140" t="s">
        <v>19</v>
      </c>
      <c r="T23" s="140" t="s">
        <v>19</v>
      </c>
      <c r="U23" s="140" t="s">
        <v>19</v>
      </c>
      <c r="V23" s="140" t="s">
        <v>19</v>
      </c>
      <c r="W23" s="140" t="s">
        <v>19</v>
      </c>
      <c r="X23" s="141" t="s">
        <v>19</v>
      </c>
      <c r="Y23" s="134"/>
      <c r="Z23"/>
      <c r="AA23"/>
      <c r="AB23"/>
      <c r="AC23"/>
      <c r="AD23"/>
    </row>
    <row r="24" spans="1:30" ht="14.1" customHeight="1" x14ac:dyDescent="0.15">
      <c r="A24" s="156"/>
      <c r="B24" s="392" t="s">
        <v>840</v>
      </c>
      <c r="C24" s="392"/>
      <c r="D24" s="392"/>
      <c r="E24" s="392"/>
      <c r="F24" s="392"/>
      <c r="G24" s="392"/>
      <c r="H24" s="145"/>
      <c r="I24" s="399"/>
      <c r="J24" s="399"/>
      <c r="K24" s="399"/>
      <c r="L24" s="399"/>
      <c r="M24" s="399"/>
      <c r="N24" s="145"/>
      <c r="O24" s="134"/>
      <c r="P24" s="370"/>
      <c r="Q24" s="371"/>
      <c r="R24" s="371"/>
      <c r="S24" s="140" t="s">
        <v>19</v>
      </c>
      <c r="T24" s="140" t="s">
        <v>19</v>
      </c>
      <c r="U24" s="140" t="s">
        <v>19</v>
      </c>
      <c r="V24" s="140" t="s">
        <v>19</v>
      </c>
      <c r="W24" s="140" t="s">
        <v>19</v>
      </c>
      <c r="X24" s="141" t="s">
        <v>19</v>
      </c>
      <c r="Y24" s="135"/>
      <c r="Z24"/>
      <c r="AA24"/>
      <c r="AB24"/>
      <c r="AC24"/>
      <c r="AD24"/>
    </row>
    <row r="25" spans="1:30" ht="14.1" customHeight="1" x14ac:dyDescent="0.15">
      <c r="A25" s="156"/>
      <c r="B25" s="387"/>
      <c r="C25" s="387"/>
      <c r="D25" s="387"/>
      <c r="E25" s="387"/>
      <c r="F25" s="387"/>
      <c r="G25" s="387"/>
      <c r="H25" s="145"/>
      <c r="I25" s="399"/>
      <c r="J25" s="399"/>
      <c r="K25" s="399"/>
      <c r="L25" s="399"/>
      <c r="M25" s="399"/>
      <c r="N25" s="145"/>
      <c r="O25" s="135"/>
      <c r="P25" s="372" t="s">
        <v>903</v>
      </c>
      <c r="Q25" s="372"/>
      <c r="R25" s="372"/>
      <c r="S25" s="372"/>
      <c r="T25" s="372"/>
      <c r="U25" s="372"/>
      <c r="V25" s="372"/>
      <c r="W25" s="372"/>
      <c r="X25" s="372"/>
      <c r="Y25" s="134"/>
      <c r="Z25"/>
      <c r="AA25"/>
      <c r="AB25"/>
      <c r="AC25"/>
      <c r="AD25"/>
    </row>
    <row r="26" spans="1:30" ht="14.1" customHeight="1" x14ac:dyDescent="0.15">
      <c r="A26" s="156"/>
      <c r="B26" s="387"/>
      <c r="C26" s="387"/>
      <c r="D26" s="387"/>
      <c r="E26" s="387"/>
      <c r="F26" s="387"/>
      <c r="G26" s="387"/>
      <c r="H26" s="145"/>
      <c r="I26" s="399"/>
      <c r="J26" s="399"/>
      <c r="K26" s="399"/>
      <c r="L26" s="399"/>
      <c r="M26" s="399"/>
      <c r="N26" s="145"/>
      <c r="O26" s="134"/>
      <c r="P26" s="364"/>
      <c r="Q26" s="364"/>
      <c r="R26" s="364"/>
      <c r="S26" s="364"/>
      <c r="T26" s="364"/>
      <c r="U26" s="364"/>
      <c r="V26" s="364"/>
      <c r="W26" s="364"/>
      <c r="X26" s="364"/>
      <c r="Y26" s="135"/>
      <c r="Z26"/>
      <c r="AA26"/>
      <c r="AB26"/>
      <c r="AC26"/>
      <c r="AD26"/>
    </row>
    <row r="27" spans="1:30" ht="14.1" customHeight="1" x14ac:dyDescent="0.15">
      <c r="A27" s="156"/>
      <c r="B27" s="387"/>
      <c r="C27" s="387"/>
      <c r="D27" s="387"/>
      <c r="E27" s="387"/>
      <c r="F27" s="387"/>
      <c r="G27" s="387"/>
      <c r="H27" s="145"/>
      <c r="I27" s="399"/>
      <c r="J27" s="399"/>
      <c r="K27" s="399"/>
      <c r="L27" s="399"/>
      <c r="M27" s="399"/>
      <c r="N27" s="145"/>
      <c r="O27" s="135"/>
      <c r="P27" s="364"/>
      <c r="Q27" s="364"/>
      <c r="R27" s="364"/>
      <c r="S27" s="364"/>
      <c r="T27" s="364"/>
      <c r="U27" s="364"/>
      <c r="V27" s="364"/>
      <c r="W27" s="364"/>
      <c r="X27" s="364"/>
      <c r="Y27" s="134"/>
      <c r="Z27"/>
      <c r="AA27"/>
      <c r="AB27"/>
      <c r="AC27"/>
      <c r="AD27"/>
    </row>
    <row r="28" spans="1:30" ht="14.1" customHeight="1" x14ac:dyDescent="0.15">
      <c r="A28" s="156"/>
      <c r="B28" s="387"/>
      <c r="C28" s="387"/>
      <c r="D28" s="387"/>
      <c r="E28" s="387"/>
      <c r="F28" s="387"/>
      <c r="G28" s="387"/>
      <c r="H28" s="145"/>
      <c r="I28" s="399"/>
      <c r="J28" s="399"/>
      <c r="K28" s="399"/>
      <c r="L28" s="399"/>
      <c r="M28" s="399"/>
      <c r="N28" s="145"/>
      <c r="O28" s="134"/>
      <c r="P28" s="365" t="s">
        <v>904</v>
      </c>
      <c r="Q28" s="365"/>
      <c r="R28" s="365"/>
      <c r="S28" s="365"/>
      <c r="T28" s="365"/>
      <c r="U28" s="365"/>
      <c r="V28" s="365"/>
      <c r="W28" s="365"/>
      <c r="X28" s="365"/>
      <c r="Y28" s="135"/>
      <c r="Z28"/>
      <c r="AA28"/>
      <c r="AB28"/>
      <c r="AC28"/>
      <c r="AD28"/>
    </row>
    <row r="29" spans="1:30" ht="14.1" customHeight="1" x14ac:dyDescent="0.15">
      <c r="A29" s="156"/>
      <c r="B29" s="387"/>
      <c r="C29" s="387"/>
      <c r="D29" s="387"/>
      <c r="E29" s="387"/>
      <c r="F29" s="387"/>
      <c r="G29" s="387"/>
      <c r="H29" s="145"/>
      <c r="I29" s="399"/>
      <c r="J29" s="399"/>
      <c r="K29" s="399"/>
      <c r="L29" s="399"/>
      <c r="M29" s="399"/>
      <c r="N29" s="145"/>
      <c r="O29" s="135"/>
      <c r="P29" s="135"/>
      <c r="Q29" s="135"/>
      <c r="R29" s="135"/>
      <c r="S29" s="135"/>
      <c r="T29" s="135"/>
      <c r="U29" s="135"/>
      <c r="V29" s="135"/>
      <c r="W29" s="135"/>
      <c r="X29" s="135"/>
      <c r="Y29" s="134"/>
      <c r="Z29"/>
      <c r="AA29"/>
      <c r="AB29"/>
      <c r="AC29"/>
      <c r="AD29"/>
    </row>
    <row r="30" spans="1:30" ht="14.1" customHeight="1" x14ac:dyDescent="0.15">
      <c r="A30" s="156"/>
      <c r="B30" s="156"/>
      <c r="C30" s="156"/>
      <c r="D30" s="156"/>
      <c r="E30" s="156"/>
      <c r="F30" s="156"/>
      <c r="G30" s="156"/>
      <c r="H30" s="156"/>
      <c r="I30" s="156"/>
      <c r="J30" s="144"/>
      <c r="K30" s="156"/>
      <c r="L30" s="156"/>
      <c r="M30" s="144"/>
      <c r="N30" s="156"/>
      <c r="O30" s="134"/>
      <c r="P30" s="379" t="s">
        <v>899</v>
      </c>
      <c r="Q30" s="379"/>
      <c r="R30" s="379"/>
      <c r="S30" s="379"/>
      <c r="T30" s="379"/>
      <c r="U30" s="379"/>
      <c r="V30" s="136" t="s">
        <v>328</v>
      </c>
      <c r="W30" s="136" t="s">
        <v>900</v>
      </c>
      <c r="X30" s="137" t="s">
        <v>901</v>
      </c>
      <c r="Y30" s="135"/>
      <c r="Z30"/>
      <c r="AA30"/>
      <c r="AB30"/>
      <c r="AC30"/>
      <c r="AD30"/>
    </row>
    <row r="31" spans="1:30" ht="14.1" customHeight="1" x14ac:dyDescent="0.15">
      <c r="A31" s="156"/>
      <c r="B31" s="388" t="s">
        <v>918</v>
      </c>
      <c r="C31" s="388"/>
      <c r="D31" s="388"/>
      <c r="E31" s="388"/>
      <c r="F31" s="388"/>
      <c r="G31" s="388"/>
      <c r="H31" s="388"/>
      <c r="I31" s="388"/>
      <c r="J31" s="388"/>
      <c r="K31" s="388"/>
      <c r="L31" s="388"/>
      <c r="M31" s="388"/>
      <c r="N31" s="145"/>
      <c r="O31" s="135"/>
      <c r="P31" s="373"/>
      <c r="Q31" s="373"/>
      <c r="R31" s="373"/>
      <c r="S31" s="373"/>
      <c r="T31" s="373"/>
      <c r="U31" s="373"/>
      <c r="V31" s="374" t="s">
        <v>19</v>
      </c>
      <c r="W31" s="375"/>
      <c r="X31" s="376"/>
      <c r="Y31" s="134"/>
      <c r="Z31"/>
      <c r="AA31"/>
      <c r="AB31"/>
      <c r="AC31"/>
      <c r="AD31"/>
    </row>
    <row r="32" spans="1:30" ht="14.1" customHeight="1" x14ac:dyDescent="0.15">
      <c r="A32" s="156"/>
      <c r="B32" s="389"/>
      <c r="C32" s="389"/>
      <c r="D32" s="389"/>
      <c r="E32" s="389"/>
      <c r="F32" s="389"/>
      <c r="G32" s="389"/>
      <c r="H32" s="389"/>
      <c r="I32" s="389"/>
      <c r="J32" s="389"/>
      <c r="K32" s="389"/>
      <c r="L32" s="389"/>
      <c r="M32" s="389"/>
      <c r="N32" s="145"/>
      <c r="O32" s="134"/>
      <c r="P32" s="373"/>
      <c r="Q32" s="373"/>
      <c r="R32" s="373"/>
      <c r="S32" s="373"/>
      <c r="T32" s="373"/>
      <c r="U32" s="373"/>
      <c r="V32" s="374"/>
      <c r="W32" s="375"/>
      <c r="X32" s="376"/>
      <c r="Y32" s="135"/>
      <c r="Z32"/>
      <c r="AA32"/>
      <c r="AB32"/>
      <c r="AC32"/>
      <c r="AD32"/>
    </row>
    <row r="33" spans="1:30" ht="14.1" customHeight="1" x14ac:dyDescent="0.15">
      <c r="A33" s="156"/>
      <c r="B33" s="389"/>
      <c r="C33" s="389"/>
      <c r="D33" s="389"/>
      <c r="E33" s="389"/>
      <c r="F33" s="389"/>
      <c r="G33" s="389"/>
      <c r="H33" s="389"/>
      <c r="I33" s="389"/>
      <c r="J33" s="389"/>
      <c r="K33" s="389"/>
      <c r="L33" s="389"/>
      <c r="M33" s="389"/>
      <c r="N33" s="145"/>
      <c r="O33" s="135"/>
      <c r="P33" s="367" t="s">
        <v>9</v>
      </c>
      <c r="Q33" s="367"/>
      <c r="R33" s="367"/>
      <c r="S33" s="368" t="s">
        <v>10</v>
      </c>
      <c r="T33" s="368"/>
      <c r="U33" s="368"/>
      <c r="V33" s="369" t="s">
        <v>11</v>
      </c>
      <c r="W33" s="369"/>
      <c r="X33" s="369"/>
      <c r="Y33" s="134"/>
      <c r="Z33"/>
      <c r="AA33"/>
      <c r="AB33"/>
      <c r="AC33"/>
      <c r="AD33"/>
    </row>
    <row r="34" spans="1:30" ht="14.1" customHeight="1" x14ac:dyDescent="0.15">
      <c r="A34" s="156"/>
      <c r="B34" s="389"/>
      <c r="C34" s="389"/>
      <c r="D34" s="389"/>
      <c r="E34" s="389"/>
      <c r="F34" s="389"/>
      <c r="G34" s="389"/>
      <c r="H34" s="389"/>
      <c r="I34" s="389"/>
      <c r="J34" s="389"/>
      <c r="K34" s="389"/>
      <c r="L34" s="389"/>
      <c r="M34" s="389"/>
      <c r="N34" s="145"/>
      <c r="O34" s="134"/>
      <c r="P34" s="370" t="s">
        <v>19</v>
      </c>
      <c r="Q34" s="371" t="s">
        <v>19</v>
      </c>
      <c r="R34" s="371" t="s">
        <v>19</v>
      </c>
      <c r="S34" s="140" t="s">
        <v>19</v>
      </c>
      <c r="T34" s="140" t="s">
        <v>19</v>
      </c>
      <c r="U34" s="140" t="s">
        <v>19</v>
      </c>
      <c r="V34" s="140" t="s">
        <v>19</v>
      </c>
      <c r="W34" s="140" t="s">
        <v>19</v>
      </c>
      <c r="X34" s="141" t="s">
        <v>19</v>
      </c>
      <c r="Y34" s="135"/>
      <c r="Z34"/>
      <c r="AA34"/>
      <c r="AB34"/>
      <c r="AC34"/>
      <c r="AD34"/>
    </row>
    <row r="35" spans="1:30" ht="14.1" customHeight="1" x14ac:dyDescent="0.15">
      <c r="A35" s="156"/>
      <c r="B35" s="389"/>
      <c r="C35" s="389"/>
      <c r="D35" s="389"/>
      <c r="E35" s="389"/>
      <c r="F35" s="389"/>
      <c r="G35" s="389"/>
      <c r="H35" s="389"/>
      <c r="I35" s="389"/>
      <c r="J35" s="389"/>
      <c r="K35" s="389"/>
      <c r="L35" s="389"/>
      <c r="M35" s="389"/>
      <c r="N35" s="156"/>
      <c r="O35" s="135"/>
      <c r="P35" s="370"/>
      <c r="Q35" s="371"/>
      <c r="R35" s="371"/>
      <c r="S35" s="140" t="s">
        <v>19</v>
      </c>
      <c r="T35" s="140" t="s">
        <v>19</v>
      </c>
      <c r="U35" s="140" t="s">
        <v>19</v>
      </c>
      <c r="V35" s="140" t="s">
        <v>19</v>
      </c>
      <c r="W35" s="140" t="s">
        <v>19</v>
      </c>
      <c r="X35" s="141" t="s">
        <v>19</v>
      </c>
      <c r="Y35" s="134"/>
      <c r="Z35" s="166"/>
      <c r="AA35" s="166"/>
      <c r="AB35" s="166"/>
      <c r="AC35" s="166"/>
      <c r="AD35" s="166"/>
    </row>
    <row r="36" spans="1:30" ht="14.1" customHeight="1" x14ac:dyDescent="0.15">
      <c r="A36" s="156"/>
      <c r="B36" s="156"/>
      <c r="C36" s="156"/>
      <c r="D36" s="156"/>
      <c r="E36" s="156"/>
      <c r="F36" s="156"/>
      <c r="G36" s="156"/>
      <c r="H36" s="156"/>
      <c r="I36" s="156"/>
      <c r="J36" s="144"/>
      <c r="K36" s="156"/>
      <c r="L36" s="156"/>
      <c r="M36" s="144"/>
      <c r="N36" s="156"/>
      <c r="O36" s="134"/>
      <c r="P36" s="372" t="s">
        <v>903</v>
      </c>
      <c r="Q36" s="372"/>
      <c r="R36" s="372"/>
      <c r="S36" s="372"/>
      <c r="T36" s="372"/>
      <c r="U36" s="372"/>
      <c r="V36" s="372"/>
      <c r="W36" s="372"/>
      <c r="X36" s="372"/>
      <c r="Y36" s="135"/>
      <c r="Z36" s="166"/>
      <c r="AA36" s="166"/>
      <c r="AB36" s="166"/>
      <c r="AC36" s="166"/>
      <c r="AD36" s="166"/>
    </row>
    <row r="37" spans="1:30" ht="14.1" customHeight="1" x14ac:dyDescent="0.15">
      <c r="A37"/>
      <c r="B37"/>
      <c r="C37"/>
      <c r="D37"/>
      <c r="E37"/>
      <c r="F37"/>
      <c r="G37"/>
      <c r="H37"/>
      <c r="I37"/>
      <c r="J37"/>
      <c r="K37"/>
      <c r="L37"/>
      <c r="M37"/>
      <c r="N37"/>
      <c r="O37" s="135"/>
      <c r="P37" s="364"/>
      <c r="Q37" s="364"/>
      <c r="R37" s="364"/>
      <c r="S37" s="364"/>
      <c r="T37" s="364"/>
      <c r="U37" s="364"/>
      <c r="V37" s="364"/>
      <c r="W37" s="364"/>
      <c r="X37" s="364"/>
      <c r="Y37" s="134"/>
      <c r="Z37" s="166"/>
      <c r="AA37" s="166"/>
      <c r="AB37" s="166"/>
      <c r="AC37" s="166"/>
      <c r="AD37" s="166"/>
    </row>
    <row r="38" spans="1:30" ht="14.1" customHeight="1" x14ac:dyDescent="0.15">
      <c r="A38"/>
      <c r="B38"/>
      <c r="C38"/>
      <c r="D38"/>
      <c r="E38"/>
      <c r="F38"/>
      <c r="G38"/>
      <c r="H38"/>
      <c r="I38"/>
      <c r="J38"/>
      <c r="K38"/>
      <c r="L38"/>
      <c r="M38"/>
      <c r="N38"/>
      <c r="O38" s="134"/>
      <c r="P38" s="364"/>
      <c r="Q38" s="364"/>
      <c r="R38" s="364"/>
      <c r="S38" s="364"/>
      <c r="T38" s="364"/>
      <c r="U38" s="364"/>
      <c r="V38" s="364"/>
      <c r="W38" s="364"/>
      <c r="X38" s="364"/>
      <c r="Y38" s="135"/>
      <c r="Z38" s="166"/>
      <c r="AA38" s="166"/>
      <c r="AB38" s="166"/>
      <c r="AC38" s="166"/>
      <c r="AD38" s="166"/>
    </row>
    <row r="39" spans="1:30" ht="14.1" customHeight="1" x14ac:dyDescent="0.15">
      <c r="A39"/>
      <c r="B39"/>
      <c r="C39"/>
      <c r="D39"/>
      <c r="E39"/>
      <c r="F39"/>
      <c r="G39"/>
      <c r="H39"/>
      <c r="I39"/>
      <c r="J39"/>
      <c r="K39"/>
      <c r="L39"/>
      <c r="M39"/>
      <c r="N39"/>
      <c r="O39" s="135"/>
      <c r="P39" s="365" t="s">
        <v>904</v>
      </c>
      <c r="Q39" s="365"/>
      <c r="R39" s="365"/>
      <c r="S39" s="365"/>
      <c r="T39" s="365"/>
      <c r="U39" s="365"/>
      <c r="V39" s="365"/>
      <c r="W39" s="365"/>
      <c r="X39" s="365"/>
      <c r="Y39" s="134"/>
      <c r="Z39" s="166"/>
      <c r="AA39" s="166"/>
      <c r="AB39" s="166"/>
      <c r="AC39" s="166"/>
      <c r="AD39" s="166"/>
    </row>
    <row r="40" spans="1:30" ht="14.1" customHeight="1" x14ac:dyDescent="0.15">
      <c r="A40"/>
      <c r="B40"/>
      <c r="C40"/>
      <c r="D40"/>
      <c r="E40"/>
      <c r="F40"/>
      <c r="G40"/>
      <c r="H40"/>
      <c r="I40"/>
      <c r="J40"/>
      <c r="K40"/>
      <c r="L40"/>
      <c r="M40"/>
      <c r="N40"/>
      <c r="O40" s="134"/>
      <c r="P40" s="134"/>
      <c r="Q40" s="134"/>
      <c r="R40" s="134"/>
      <c r="S40" s="134"/>
      <c r="T40" s="134"/>
      <c r="U40" s="134"/>
      <c r="V40" s="134"/>
      <c r="W40" s="134"/>
      <c r="X40" s="134"/>
      <c r="Y40" s="135"/>
      <c r="Z40" s="166"/>
      <c r="AA40" s="166"/>
      <c r="AB40" s="166"/>
      <c r="AC40" s="166"/>
      <c r="AD40" s="166"/>
    </row>
    <row r="41" spans="1:30" ht="14.1" customHeight="1" x14ac:dyDescent="0.15">
      <c r="A41"/>
      <c r="B41"/>
      <c r="C41"/>
      <c r="D41"/>
      <c r="E41"/>
      <c r="F41"/>
      <c r="G41"/>
      <c r="H41"/>
      <c r="I41"/>
      <c r="J41"/>
      <c r="K41"/>
      <c r="L41"/>
      <c r="M41"/>
      <c r="N41"/>
      <c r="O41" s="135"/>
      <c r="P41" s="379" t="s">
        <v>899</v>
      </c>
      <c r="Q41" s="379"/>
      <c r="R41" s="379"/>
      <c r="S41" s="379"/>
      <c r="T41" s="379"/>
      <c r="U41" s="379"/>
      <c r="V41" s="136" t="s">
        <v>328</v>
      </c>
      <c r="W41" s="136" t="s">
        <v>900</v>
      </c>
      <c r="X41" s="137" t="s">
        <v>901</v>
      </c>
      <c r="Y41" s="134"/>
      <c r="Z41" s="166"/>
      <c r="AA41" s="166"/>
      <c r="AB41" s="166"/>
      <c r="AC41" s="166"/>
      <c r="AD41" s="166"/>
    </row>
    <row r="42" spans="1:30" ht="14.1" customHeight="1" x14ac:dyDescent="0.15">
      <c r="A42"/>
      <c r="B42"/>
      <c r="C42"/>
      <c r="D42"/>
      <c r="E42"/>
      <c r="F42"/>
      <c r="G42"/>
      <c r="H42"/>
      <c r="I42"/>
      <c r="J42"/>
      <c r="K42"/>
      <c r="L42"/>
      <c r="M42"/>
      <c r="N42"/>
      <c r="O42" s="134"/>
      <c r="P42" s="373"/>
      <c r="Q42" s="373"/>
      <c r="R42" s="373"/>
      <c r="S42" s="373"/>
      <c r="T42" s="373"/>
      <c r="U42" s="373"/>
      <c r="V42" s="374" t="s">
        <v>19</v>
      </c>
      <c r="W42" s="375"/>
      <c r="X42" s="376"/>
      <c r="Y42" s="135"/>
      <c r="Z42" s="166"/>
      <c r="AA42" s="166"/>
      <c r="AB42" s="166"/>
      <c r="AC42" s="166"/>
      <c r="AD42" s="166"/>
    </row>
    <row r="43" spans="1:30" ht="14.1" customHeight="1" x14ac:dyDescent="0.15">
      <c r="A43"/>
      <c r="B43"/>
      <c r="C43"/>
      <c r="D43"/>
      <c r="E43"/>
      <c r="F43"/>
      <c r="G43"/>
      <c r="H43"/>
      <c r="I43"/>
      <c r="J43"/>
      <c r="K43"/>
      <c r="L43"/>
      <c r="M43"/>
      <c r="N43"/>
      <c r="O43" s="135"/>
      <c r="P43" s="373"/>
      <c r="Q43" s="373"/>
      <c r="R43" s="373"/>
      <c r="S43" s="373"/>
      <c r="T43" s="373"/>
      <c r="U43" s="373"/>
      <c r="V43" s="374"/>
      <c r="W43" s="375"/>
      <c r="X43" s="376"/>
      <c r="Y43" s="134"/>
      <c r="Z43" s="166"/>
      <c r="AA43" s="166"/>
      <c r="AB43" s="166"/>
      <c r="AC43" s="166"/>
      <c r="AD43" s="166"/>
    </row>
    <row r="44" spans="1:30" ht="14.1" customHeight="1" x14ac:dyDescent="0.15">
      <c r="A44"/>
      <c r="B44"/>
      <c r="C44"/>
      <c r="D44"/>
      <c r="E44"/>
      <c r="F44"/>
      <c r="G44"/>
      <c r="H44"/>
      <c r="I44"/>
      <c r="J44"/>
      <c r="K44"/>
      <c r="L44"/>
      <c r="M44"/>
      <c r="N44"/>
      <c r="O44" s="134"/>
      <c r="P44" s="367" t="s">
        <v>9</v>
      </c>
      <c r="Q44" s="367"/>
      <c r="R44" s="367"/>
      <c r="S44" s="368" t="s">
        <v>10</v>
      </c>
      <c r="T44" s="368"/>
      <c r="U44" s="368"/>
      <c r="V44" s="369" t="s">
        <v>11</v>
      </c>
      <c r="W44" s="369"/>
      <c r="X44" s="369"/>
      <c r="Y44" s="135"/>
      <c r="Z44" s="166"/>
      <c r="AA44" s="166"/>
      <c r="AB44" s="166"/>
      <c r="AC44" s="166"/>
      <c r="AD44" s="166"/>
    </row>
    <row r="45" spans="1:30" ht="14.1" customHeight="1" x14ac:dyDescent="0.15">
      <c r="A45"/>
      <c r="B45"/>
      <c r="C45"/>
      <c r="D45"/>
      <c r="E45"/>
      <c r="F45"/>
      <c r="G45"/>
      <c r="H45"/>
      <c r="I45"/>
      <c r="J45"/>
      <c r="K45"/>
      <c r="L45"/>
      <c r="M45"/>
      <c r="N45"/>
      <c r="O45" s="135"/>
      <c r="P45" s="370" t="s">
        <v>19</v>
      </c>
      <c r="Q45" s="371" t="s">
        <v>19</v>
      </c>
      <c r="R45" s="371" t="s">
        <v>19</v>
      </c>
      <c r="S45" s="140" t="s">
        <v>19</v>
      </c>
      <c r="T45" s="140" t="s">
        <v>19</v>
      </c>
      <c r="U45" s="140" t="s">
        <v>19</v>
      </c>
      <c r="V45" s="140" t="s">
        <v>19</v>
      </c>
      <c r="W45" s="140" t="s">
        <v>19</v>
      </c>
      <c r="X45" s="141" t="s">
        <v>19</v>
      </c>
      <c r="Y45" s="134"/>
      <c r="Z45" s="166"/>
      <c r="AA45" s="166"/>
      <c r="AB45" s="166"/>
      <c r="AC45" s="166"/>
      <c r="AD45" s="166"/>
    </row>
    <row r="46" spans="1:30" ht="14.1" customHeight="1" x14ac:dyDescent="0.15">
      <c r="A46"/>
      <c r="B46"/>
      <c r="C46"/>
      <c r="D46"/>
      <c r="E46"/>
      <c r="F46"/>
      <c r="G46"/>
      <c r="H46"/>
      <c r="I46"/>
      <c r="J46"/>
      <c r="K46"/>
      <c r="L46"/>
      <c r="M46"/>
      <c r="N46"/>
      <c r="O46" s="134"/>
      <c r="P46" s="370"/>
      <c r="Q46" s="371"/>
      <c r="R46" s="371"/>
      <c r="S46" s="140" t="s">
        <v>19</v>
      </c>
      <c r="T46" s="140" t="s">
        <v>19</v>
      </c>
      <c r="U46" s="140" t="s">
        <v>19</v>
      </c>
      <c r="V46" s="140" t="s">
        <v>19</v>
      </c>
      <c r="W46" s="140" t="s">
        <v>19</v>
      </c>
      <c r="X46" s="141" t="s">
        <v>19</v>
      </c>
      <c r="Y46" s="135"/>
      <c r="Z46" s="166"/>
      <c r="AA46" s="166"/>
      <c r="AB46" s="166"/>
      <c r="AC46" s="166"/>
      <c r="AD46" s="166"/>
    </row>
    <row r="47" spans="1:30" ht="14.1" customHeight="1" x14ac:dyDescent="0.15">
      <c r="A47"/>
      <c r="B47"/>
      <c r="C47"/>
      <c r="D47"/>
      <c r="E47"/>
      <c r="F47"/>
      <c r="G47"/>
      <c r="H47"/>
      <c r="I47"/>
      <c r="J47"/>
      <c r="K47"/>
      <c r="L47"/>
      <c r="M47"/>
      <c r="N47"/>
      <c r="O47" s="135"/>
      <c r="P47" s="372" t="s">
        <v>903</v>
      </c>
      <c r="Q47" s="372"/>
      <c r="R47" s="372"/>
      <c r="S47" s="372"/>
      <c r="T47" s="372"/>
      <c r="U47" s="372"/>
      <c r="V47" s="372"/>
      <c r="W47" s="372"/>
      <c r="X47" s="372"/>
      <c r="Y47" s="134"/>
      <c r="Z47" s="166"/>
      <c r="AA47" s="166"/>
      <c r="AB47" s="166"/>
      <c r="AC47" s="166"/>
      <c r="AD47" s="166"/>
    </row>
    <row r="48" spans="1:30" ht="14.1" customHeight="1" x14ac:dyDescent="0.15">
      <c r="A48"/>
      <c r="B48"/>
      <c r="C48"/>
      <c r="D48"/>
      <c r="E48"/>
      <c r="F48"/>
      <c r="G48"/>
      <c r="H48"/>
      <c r="I48"/>
      <c r="J48"/>
      <c r="K48"/>
      <c r="L48"/>
      <c r="M48"/>
      <c r="N48"/>
      <c r="O48" s="134"/>
      <c r="P48" s="364"/>
      <c r="Q48" s="364"/>
      <c r="R48" s="364"/>
      <c r="S48" s="364"/>
      <c r="T48" s="364"/>
      <c r="U48" s="364"/>
      <c r="V48" s="364"/>
      <c r="W48" s="364"/>
      <c r="X48" s="364"/>
      <c r="Y48" s="135"/>
      <c r="Z48" s="166"/>
      <c r="AA48" s="166"/>
      <c r="AB48" s="166"/>
      <c r="AC48" s="166"/>
      <c r="AD48" s="166"/>
    </row>
    <row r="49" spans="1:30" ht="14.1" customHeight="1" x14ac:dyDescent="0.15">
      <c r="A49"/>
      <c r="B49"/>
      <c r="C49"/>
      <c r="D49"/>
      <c r="E49"/>
      <c r="F49"/>
      <c r="G49"/>
      <c r="H49"/>
      <c r="I49"/>
      <c r="J49"/>
      <c r="K49"/>
      <c r="L49"/>
      <c r="M49"/>
      <c r="N49"/>
      <c r="O49" s="135"/>
      <c r="P49" s="364"/>
      <c r="Q49" s="364"/>
      <c r="R49" s="364"/>
      <c r="S49" s="364"/>
      <c r="T49" s="364"/>
      <c r="U49" s="364"/>
      <c r="V49" s="364"/>
      <c r="W49" s="364"/>
      <c r="X49" s="364"/>
      <c r="Y49" s="134"/>
      <c r="Z49" s="166"/>
      <c r="AA49" s="166"/>
      <c r="AB49" s="166"/>
      <c r="AC49" s="166"/>
      <c r="AD49" s="166"/>
    </row>
    <row r="50" spans="1:30" ht="14.1" customHeight="1" x14ac:dyDescent="0.15">
      <c r="A50"/>
      <c r="B50"/>
      <c r="C50"/>
      <c r="D50"/>
      <c r="E50"/>
      <c r="F50"/>
      <c r="G50"/>
      <c r="H50"/>
      <c r="I50"/>
      <c r="J50"/>
      <c r="K50"/>
      <c r="L50"/>
      <c r="M50"/>
      <c r="N50"/>
      <c r="O50" s="134"/>
      <c r="P50" s="365" t="s">
        <v>904</v>
      </c>
      <c r="Q50" s="365"/>
      <c r="R50" s="365"/>
      <c r="S50" s="365"/>
      <c r="T50" s="365"/>
      <c r="U50" s="365"/>
      <c r="V50" s="365"/>
      <c r="W50" s="365"/>
      <c r="X50" s="365"/>
      <c r="Y50" s="135"/>
      <c r="Z50" s="166"/>
      <c r="AA50" s="166"/>
      <c r="AB50" s="166"/>
      <c r="AC50" s="166"/>
      <c r="AD50" s="166"/>
    </row>
    <row r="51" spans="1:30" ht="14.1" customHeight="1" x14ac:dyDescent="0.15">
      <c r="A51"/>
      <c r="B51"/>
      <c r="C51"/>
      <c r="D51"/>
      <c r="E51"/>
      <c r="F51"/>
      <c r="G51"/>
      <c r="H51"/>
      <c r="I51"/>
      <c r="J51"/>
      <c r="K51"/>
      <c r="L51"/>
      <c r="M51"/>
      <c r="N51"/>
      <c r="O51" s="135"/>
      <c r="P51" s="135"/>
      <c r="Q51" s="135"/>
      <c r="R51" s="135"/>
      <c r="S51" s="135"/>
      <c r="T51" s="135"/>
      <c r="U51" s="135"/>
      <c r="V51" s="135"/>
      <c r="W51" s="135"/>
      <c r="X51" s="135"/>
      <c r="Y51" s="134"/>
      <c r="Z51" s="166"/>
      <c r="AA51" s="166"/>
      <c r="AB51" s="166"/>
      <c r="AC51" s="166"/>
      <c r="AD51" s="166"/>
    </row>
    <row r="52" spans="1:30" ht="14.1" customHeight="1" x14ac:dyDescent="0.15">
      <c r="A52"/>
      <c r="B52"/>
      <c r="C52"/>
      <c r="D52"/>
      <c r="E52"/>
      <c r="F52"/>
      <c r="G52"/>
      <c r="H52"/>
      <c r="I52"/>
      <c r="J52"/>
      <c r="K52"/>
      <c r="L52"/>
      <c r="M52"/>
      <c r="N52"/>
      <c r="O52" s="134"/>
      <c r="P52" s="379" t="s">
        <v>899</v>
      </c>
      <c r="Q52" s="379"/>
      <c r="R52" s="379"/>
      <c r="S52" s="379"/>
      <c r="T52" s="379"/>
      <c r="U52" s="379"/>
      <c r="V52" s="136" t="s">
        <v>328</v>
      </c>
      <c r="W52" s="136" t="s">
        <v>900</v>
      </c>
      <c r="X52" s="137" t="s">
        <v>901</v>
      </c>
      <c r="Y52" s="135"/>
      <c r="Z52" s="166"/>
      <c r="AA52" s="166"/>
    </row>
    <row r="53" spans="1:30" ht="14.1" customHeight="1" x14ac:dyDescent="0.15">
      <c r="A53"/>
      <c r="B53"/>
      <c r="C53"/>
      <c r="D53"/>
      <c r="E53"/>
      <c r="F53"/>
      <c r="G53"/>
      <c r="H53"/>
      <c r="I53"/>
      <c r="J53"/>
      <c r="K53"/>
      <c r="L53"/>
      <c r="M53"/>
      <c r="N53"/>
      <c r="O53" s="135"/>
      <c r="P53" s="373"/>
      <c r="Q53" s="373"/>
      <c r="R53" s="373"/>
      <c r="S53" s="373"/>
      <c r="T53" s="373"/>
      <c r="U53" s="373"/>
      <c r="V53" s="374" t="s">
        <v>19</v>
      </c>
      <c r="W53" s="375"/>
      <c r="X53" s="376"/>
      <c r="Y53" s="134"/>
      <c r="Z53" s="166"/>
      <c r="AA53" s="166"/>
    </row>
    <row r="54" spans="1:30" ht="14.1" customHeight="1" x14ac:dyDescent="0.15">
      <c r="A54"/>
      <c r="B54"/>
      <c r="C54"/>
      <c r="D54"/>
      <c r="E54"/>
      <c r="F54"/>
      <c r="G54"/>
      <c r="H54"/>
      <c r="I54"/>
      <c r="J54"/>
      <c r="K54"/>
      <c r="L54"/>
      <c r="M54"/>
      <c r="N54"/>
      <c r="O54" s="134"/>
      <c r="P54" s="373"/>
      <c r="Q54" s="373"/>
      <c r="R54" s="373"/>
      <c r="S54" s="373"/>
      <c r="T54" s="373"/>
      <c r="U54" s="373"/>
      <c r="V54" s="374"/>
      <c r="W54" s="375"/>
      <c r="X54" s="376"/>
      <c r="Y54" s="135"/>
      <c r="Z54" s="166"/>
      <c r="AA54" s="166"/>
    </row>
    <row r="55" spans="1:30" ht="14.1" customHeight="1" x14ac:dyDescent="0.15">
      <c r="A55"/>
      <c r="B55"/>
      <c r="C55"/>
      <c r="D55"/>
      <c r="E55"/>
      <c r="F55"/>
      <c r="G55"/>
      <c r="H55"/>
      <c r="I55"/>
      <c r="J55"/>
      <c r="K55"/>
      <c r="L55"/>
      <c r="M55"/>
      <c r="N55"/>
      <c r="O55" s="135"/>
      <c r="P55" s="367" t="s">
        <v>9</v>
      </c>
      <c r="Q55" s="367"/>
      <c r="R55" s="367"/>
      <c r="S55" s="368" t="s">
        <v>10</v>
      </c>
      <c r="T55" s="368"/>
      <c r="U55" s="368"/>
      <c r="V55" s="369" t="s">
        <v>11</v>
      </c>
      <c r="W55" s="369"/>
      <c r="X55" s="369"/>
      <c r="Y55" s="134"/>
      <c r="Z55" s="166"/>
      <c r="AA55" s="166"/>
    </row>
    <row r="56" spans="1:30" ht="14.1" customHeight="1" x14ac:dyDescent="0.15">
      <c r="A56"/>
      <c r="B56"/>
      <c r="C56"/>
      <c r="D56"/>
      <c r="E56"/>
      <c r="F56"/>
      <c r="G56"/>
      <c r="H56"/>
      <c r="I56"/>
      <c r="J56"/>
      <c r="K56"/>
      <c r="L56"/>
      <c r="M56"/>
      <c r="N56"/>
      <c r="O56" s="134"/>
      <c r="P56" s="370" t="s">
        <v>19</v>
      </c>
      <c r="Q56" s="371" t="s">
        <v>19</v>
      </c>
      <c r="R56" s="371" t="s">
        <v>19</v>
      </c>
      <c r="S56" s="140" t="s">
        <v>19</v>
      </c>
      <c r="T56" s="140" t="s">
        <v>19</v>
      </c>
      <c r="U56" s="140" t="s">
        <v>19</v>
      </c>
      <c r="V56" s="140" t="s">
        <v>19</v>
      </c>
      <c r="W56" s="140" t="s">
        <v>19</v>
      </c>
      <c r="X56" s="141" t="s">
        <v>19</v>
      </c>
      <c r="Y56" s="135"/>
      <c r="Z56" s="166"/>
      <c r="AA56" s="166"/>
    </row>
    <row r="57" spans="1:30" ht="14.1" customHeight="1" x14ac:dyDescent="0.15">
      <c r="A57"/>
      <c r="B57"/>
      <c r="C57"/>
      <c r="D57"/>
      <c r="E57"/>
      <c r="F57"/>
      <c r="G57"/>
      <c r="H57"/>
      <c r="I57"/>
      <c r="J57"/>
      <c r="K57"/>
      <c r="L57"/>
      <c r="M57"/>
      <c r="N57"/>
      <c r="O57" s="135"/>
      <c r="P57" s="370"/>
      <c r="Q57" s="371"/>
      <c r="R57" s="371"/>
      <c r="S57" s="140" t="s">
        <v>19</v>
      </c>
      <c r="T57" s="140" t="s">
        <v>19</v>
      </c>
      <c r="U57" s="140" t="s">
        <v>19</v>
      </c>
      <c r="V57" s="140" t="s">
        <v>19</v>
      </c>
      <c r="W57" s="140" t="s">
        <v>19</v>
      </c>
      <c r="X57" s="141" t="s">
        <v>19</v>
      </c>
      <c r="Y57" s="134"/>
      <c r="Z57" s="166"/>
      <c r="AA57" s="166"/>
    </row>
    <row r="58" spans="1:30" ht="14.1" customHeight="1" x14ac:dyDescent="0.15">
      <c r="A58"/>
      <c r="B58"/>
      <c r="C58"/>
      <c r="D58"/>
      <c r="E58"/>
      <c r="F58"/>
      <c r="G58"/>
      <c r="H58"/>
      <c r="I58"/>
      <c r="J58"/>
      <c r="K58"/>
      <c r="L58"/>
      <c r="M58"/>
      <c r="N58"/>
      <c r="O58" s="134"/>
      <c r="P58" s="372" t="s">
        <v>903</v>
      </c>
      <c r="Q58" s="372"/>
      <c r="R58" s="372"/>
      <c r="S58" s="372"/>
      <c r="T58" s="372"/>
      <c r="U58" s="372"/>
      <c r="V58" s="372"/>
      <c r="W58" s="372"/>
      <c r="X58" s="372"/>
      <c r="Y58" s="135"/>
      <c r="Z58" s="166"/>
      <c r="AA58" s="166"/>
    </row>
    <row r="59" spans="1:30" ht="14.1" customHeight="1" x14ac:dyDescent="0.15">
      <c r="A59"/>
      <c r="B59"/>
      <c r="C59"/>
      <c r="D59"/>
      <c r="E59"/>
      <c r="F59"/>
      <c r="G59"/>
      <c r="H59"/>
      <c r="I59"/>
      <c r="J59"/>
      <c r="K59"/>
      <c r="L59"/>
      <c r="M59"/>
      <c r="N59"/>
      <c r="O59" s="135"/>
      <c r="P59" s="364"/>
      <c r="Q59" s="364"/>
      <c r="R59" s="364"/>
      <c r="S59" s="364"/>
      <c r="T59" s="364"/>
      <c r="U59" s="364"/>
      <c r="V59" s="364"/>
      <c r="W59" s="364"/>
      <c r="X59" s="364"/>
      <c r="Y59" s="134"/>
      <c r="Z59" s="166"/>
      <c r="AA59" s="166"/>
    </row>
    <row r="60" spans="1:30" ht="14.1" customHeight="1" x14ac:dyDescent="0.15">
      <c r="A60"/>
      <c r="B60"/>
      <c r="C60"/>
      <c r="D60"/>
      <c r="E60"/>
      <c r="F60"/>
      <c r="G60"/>
      <c r="H60"/>
      <c r="I60"/>
      <c r="J60"/>
      <c r="K60"/>
      <c r="L60"/>
      <c r="M60"/>
      <c r="N60"/>
      <c r="O60" s="134"/>
      <c r="P60" s="364"/>
      <c r="Q60" s="364"/>
      <c r="R60" s="364"/>
      <c r="S60" s="364"/>
      <c r="T60" s="364"/>
      <c r="U60" s="364"/>
      <c r="V60" s="364"/>
      <c r="W60" s="364"/>
      <c r="X60" s="364"/>
      <c r="Y60" s="135"/>
      <c r="Z60" s="166"/>
      <c r="AA60" s="166"/>
    </row>
    <row r="61" spans="1:30" ht="14.1" customHeight="1" x14ac:dyDescent="0.15">
      <c r="A61"/>
      <c r="B61"/>
      <c r="C61"/>
      <c r="D61"/>
      <c r="E61"/>
      <c r="F61"/>
      <c r="G61"/>
      <c r="H61"/>
      <c r="I61"/>
      <c r="J61"/>
      <c r="K61"/>
      <c r="L61"/>
      <c r="M61"/>
      <c r="N61"/>
      <c r="O61" s="135"/>
      <c r="P61" s="365" t="s">
        <v>904</v>
      </c>
      <c r="Q61" s="365"/>
      <c r="R61" s="365"/>
      <c r="S61" s="365"/>
      <c r="T61" s="365"/>
      <c r="U61" s="365"/>
      <c r="V61" s="365"/>
      <c r="W61" s="365"/>
      <c r="X61" s="365"/>
      <c r="Y61" s="134"/>
      <c r="Z61" s="166"/>
      <c r="AA61" s="166"/>
    </row>
    <row r="62" spans="1:30" ht="14.1" customHeight="1" x14ac:dyDescent="0.15">
      <c r="A62"/>
      <c r="B62"/>
      <c r="C62"/>
      <c r="D62"/>
      <c r="E62"/>
      <c r="F62"/>
      <c r="G62"/>
      <c r="H62"/>
      <c r="I62"/>
      <c r="J62"/>
      <c r="K62"/>
      <c r="L62"/>
      <c r="M62"/>
      <c r="N62"/>
      <c r="O62" s="134"/>
      <c r="P62" s="134"/>
      <c r="Q62" s="134"/>
      <c r="R62" s="134"/>
      <c r="S62" s="134"/>
      <c r="T62" s="134"/>
      <c r="U62" s="134"/>
      <c r="V62" s="134"/>
      <c r="W62" s="134"/>
      <c r="X62" s="134"/>
      <c r="Y62" s="135"/>
      <c r="Z62" s="166"/>
      <c r="AA62" s="166"/>
    </row>
    <row r="63" spans="1:30" ht="14.1" customHeight="1" x14ac:dyDescent="0.15">
      <c r="A63"/>
      <c r="B63"/>
      <c r="C63"/>
      <c r="D63"/>
      <c r="E63"/>
      <c r="F63"/>
      <c r="G63"/>
      <c r="H63"/>
      <c r="I63"/>
      <c r="J63"/>
      <c r="K63"/>
      <c r="L63"/>
      <c r="M63"/>
      <c r="N63"/>
      <c r="O63"/>
      <c r="P63"/>
      <c r="Q63"/>
      <c r="R63" s="166"/>
      <c r="S63" s="166"/>
      <c r="T63" s="166"/>
      <c r="U63" s="166"/>
      <c r="V63" s="166"/>
      <c r="W63" s="166"/>
      <c r="X63" s="166"/>
      <c r="Y63" s="166"/>
      <c r="Z63" s="166"/>
      <c r="AA63" s="166"/>
    </row>
    <row r="64" spans="1:30" ht="14.1" customHeight="1" x14ac:dyDescent="0.15">
      <c r="A64"/>
      <c r="B64"/>
      <c r="C64"/>
      <c r="D64"/>
      <c r="E64"/>
      <c r="F64"/>
      <c r="G64"/>
      <c r="H64"/>
      <c r="I64"/>
      <c r="J64"/>
      <c r="K64"/>
      <c r="L64"/>
      <c r="M64"/>
      <c r="N64"/>
      <c r="O64"/>
      <c r="P64"/>
      <c r="Q64"/>
      <c r="R64" s="166"/>
      <c r="S64" s="166"/>
      <c r="T64" s="166"/>
      <c r="U64" s="166"/>
      <c r="V64" s="166"/>
      <c r="W64" s="166"/>
      <c r="X64" s="166"/>
      <c r="Y64" s="166"/>
      <c r="Z64" s="166"/>
      <c r="AA64" s="166"/>
    </row>
    <row r="65" spans="1:27" ht="14.1" customHeight="1" x14ac:dyDescent="0.15">
      <c r="A65"/>
      <c r="B65"/>
      <c r="C65"/>
      <c r="D65"/>
      <c r="E65"/>
      <c r="F65"/>
      <c r="G65"/>
      <c r="H65"/>
      <c r="I65"/>
      <c r="J65"/>
      <c r="K65"/>
      <c r="L65"/>
      <c r="M65"/>
      <c r="N65"/>
      <c r="O65"/>
      <c r="P65"/>
      <c r="Q65"/>
      <c r="R65" s="166"/>
      <c r="S65" s="166"/>
      <c r="T65" s="166"/>
      <c r="U65" s="166"/>
      <c r="V65" s="166"/>
      <c r="W65" s="166"/>
      <c r="X65" s="166"/>
      <c r="Y65" s="166"/>
      <c r="Z65" s="166"/>
      <c r="AA65" s="166"/>
    </row>
    <row r="66" spans="1:27" ht="14.1" customHeight="1" x14ac:dyDescent="0.15">
      <c r="A66"/>
      <c r="B66"/>
      <c r="C66"/>
      <c r="D66"/>
      <c r="E66"/>
      <c r="F66"/>
      <c r="G66"/>
      <c r="H66"/>
      <c r="I66"/>
      <c r="J66"/>
      <c r="K66"/>
      <c r="L66"/>
      <c r="M66"/>
      <c r="N66"/>
      <c r="O66"/>
      <c r="P66"/>
      <c r="Q66"/>
      <c r="R66" s="166"/>
      <c r="S66" s="166"/>
      <c r="T66" s="166"/>
      <c r="U66" s="166"/>
      <c r="V66" s="166"/>
      <c r="W66" s="166"/>
      <c r="X66" s="166"/>
      <c r="Y66" s="166"/>
      <c r="Z66" s="166"/>
      <c r="AA66" s="166"/>
    </row>
    <row r="67" spans="1:27" ht="14.1" customHeight="1" x14ac:dyDescent="0.15">
      <c r="A67"/>
      <c r="B67"/>
      <c r="C67"/>
      <c r="D67"/>
      <c r="E67"/>
      <c r="F67"/>
      <c r="G67"/>
      <c r="H67"/>
      <c r="I67"/>
      <c r="J67"/>
      <c r="K67"/>
      <c r="L67"/>
      <c r="M67"/>
      <c r="N67"/>
      <c r="O67"/>
      <c r="P67"/>
      <c r="Q67"/>
      <c r="R67" s="166"/>
      <c r="S67" s="166"/>
      <c r="T67" s="166"/>
      <c r="U67" s="166"/>
      <c r="V67" s="166"/>
      <c r="W67" s="166"/>
      <c r="X67" s="166"/>
      <c r="Y67" s="166"/>
      <c r="Z67" s="166"/>
      <c r="AA67" s="166"/>
    </row>
    <row r="68" spans="1:27" ht="14.1" customHeight="1" x14ac:dyDescent="0.15">
      <c r="A68"/>
      <c r="B68"/>
      <c r="C68"/>
      <c r="D68"/>
      <c r="E68"/>
      <c r="F68"/>
      <c r="G68"/>
      <c r="H68"/>
      <c r="I68"/>
      <c r="J68"/>
      <c r="K68"/>
      <c r="L68"/>
      <c r="M68"/>
      <c r="N68"/>
      <c r="O68"/>
      <c r="P68"/>
      <c r="Q68"/>
      <c r="R68" s="166"/>
      <c r="S68" s="166"/>
      <c r="T68" s="166"/>
      <c r="U68" s="166"/>
      <c r="V68" s="166"/>
      <c r="W68" s="166"/>
      <c r="X68" s="166"/>
      <c r="Y68" s="166"/>
      <c r="Z68" s="166"/>
      <c r="AA68" s="166"/>
    </row>
    <row r="69" spans="1:27" ht="14.1" customHeight="1" x14ac:dyDescent="0.15">
      <c r="A69"/>
      <c r="B69"/>
      <c r="C69"/>
      <c r="D69"/>
      <c r="E69"/>
      <c r="F69"/>
      <c r="G69"/>
      <c r="H69"/>
      <c r="I69"/>
      <c r="J69"/>
      <c r="K69"/>
      <c r="L69"/>
      <c r="M69"/>
      <c r="N69"/>
      <c r="O69"/>
      <c r="P69"/>
      <c r="Q69"/>
      <c r="R69" s="166"/>
      <c r="S69" s="166"/>
      <c r="T69" s="166"/>
      <c r="U69" s="166"/>
      <c r="V69" s="166"/>
      <c r="W69" s="166"/>
      <c r="X69" s="166"/>
      <c r="Y69" s="166"/>
      <c r="Z69" s="166"/>
      <c r="AA69" s="166"/>
    </row>
    <row r="70" spans="1:27" ht="14.1" customHeight="1" x14ac:dyDescent="0.15">
      <c r="A70"/>
      <c r="B70"/>
      <c r="C70"/>
      <c r="D70"/>
      <c r="E70"/>
      <c r="F70"/>
      <c r="G70"/>
      <c r="H70"/>
      <c r="I70"/>
      <c r="J70"/>
      <c r="K70"/>
      <c r="L70"/>
      <c r="M70"/>
      <c r="N70"/>
      <c r="O70"/>
      <c r="P70"/>
      <c r="Q70"/>
      <c r="R70" s="166"/>
      <c r="S70" s="166"/>
      <c r="T70" s="166"/>
      <c r="U70" s="166"/>
      <c r="V70" s="166"/>
      <c r="W70" s="166"/>
      <c r="X70" s="166"/>
      <c r="Y70" s="166"/>
      <c r="Z70" s="166"/>
      <c r="AA70" s="166"/>
    </row>
    <row r="71" spans="1:27" ht="14.1" customHeight="1" x14ac:dyDescent="0.15">
      <c r="A71"/>
      <c r="B71"/>
      <c r="C71"/>
      <c r="D71"/>
      <c r="E71"/>
      <c r="F71"/>
      <c r="G71"/>
      <c r="H71"/>
      <c r="I71"/>
      <c r="J71"/>
      <c r="K71"/>
      <c r="L71"/>
      <c r="M71"/>
      <c r="N71"/>
      <c r="O71"/>
      <c r="P71"/>
      <c r="Q71"/>
      <c r="R71" s="166"/>
      <c r="S71" s="166"/>
      <c r="T71" s="166"/>
      <c r="U71" s="166"/>
      <c r="V71" s="166"/>
      <c r="W71" s="166"/>
      <c r="X71" s="166"/>
      <c r="Y71" s="166"/>
      <c r="Z71" s="166"/>
      <c r="AA71" s="166"/>
    </row>
    <row r="72" spans="1:27" ht="14.1" customHeight="1" x14ac:dyDescent="0.15">
      <c r="A72"/>
      <c r="B72"/>
      <c r="C72"/>
      <c r="D72"/>
      <c r="E72"/>
      <c r="F72"/>
      <c r="G72"/>
      <c r="H72"/>
      <c r="I72"/>
      <c r="J72"/>
      <c r="K72"/>
      <c r="L72"/>
      <c r="M72"/>
      <c r="N72"/>
      <c r="O72"/>
      <c r="P72"/>
      <c r="Q72"/>
      <c r="R72" s="166"/>
      <c r="S72" s="166"/>
      <c r="T72" s="166"/>
      <c r="U72" s="166"/>
      <c r="V72" s="166"/>
      <c r="W72" s="166"/>
      <c r="X72" s="166"/>
      <c r="Y72" s="166"/>
      <c r="Z72" s="166"/>
      <c r="AA72" s="166"/>
    </row>
    <row r="73" spans="1:27" ht="14.1" customHeight="1" x14ac:dyDescent="0.15">
      <c r="A73"/>
      <c r="B73"/>
      <c r="C73"/>
      <c r="D73"/>
      <c r="E73"/>
      <c r="F73"/>
      <c r="G73"/>
      <c r="H73"/>
      <c r="I73"/>
      <c r="J73"/>
      <c r="K73"/>
      <c r="L73"/>
      <c r="M73"/>
      <c r="N73"/>
      <c r="O73"/>
      <c r="P73"/>
      <c r="Q73"/>
    </row>
    <row r="74" spans="1:27" ht="14.1" customHeight="1" x14ac:dyDescent="0.15">
      <c r="A74"/>
      <c r="B74"/>
      <c r="C74"/>
      <c r="D74"/>
      <c r="E74"/>
      <c r="F74"/>
      <c r="G74"/>
      <c r="H74"/>
      <c r="I74"/>
      <c r="J74"/>
      <c r="K74"/>
      <c r="L74"/>
      <c r="M74"/>
      <c r="N74"/>
      <c r="O74"/>
      <c r="P74"/>
      <c r="Q74"/>
    </row>
    <row r="75" spans="1:27" ht="14.1" customHeight="1" x14ac:dyDescent="0.15">
      <c r="A75"/>
      <c r="B75"/>
      <c r="C75"/>
      <c r="D75"/>
      <c r="E75"/>
      <c r="F75"/>
      <c r="G75"/>
      <c r="H75"/>
      <c r="I75"/>
      <c r="J75"/>
      <c r="K75"/>
      <c r="L75"/>
      <c r="M75"/>
      <c r="N75"/>
      <c r="O75"/>
      <c r="P75"/>
      <c r="Q75"/>
    </row>
    <row r="76" spans="1:27" ht="14.1" customHeight="1" x14ac:dyDescent="0.15">
      <c r="A76"/>
      <c r="B76"/>
      <c r="C76"/>
      <c r="D76"/>
      <c r="E76"/>
      <c r="F76"/>
      <c r="G76"/>
      <c r="H76"/>
      <c r="I76"/>
      <c r="J76"/>
      <c r="K76"/>
      <c r="L76"/>
      <c r="M76"/>
      <c r="N76"/>
      <c r="O76"/>
      <c r="P76"/>
      <c r="Q76"/>
    </row>
    <row r="77" spans="1:27" ht="14.1" customHeight="1" x14ac:dyDescent="0.15">
      <c r="A77"/>
      <c r="B77"/>
      <c r="C77"/>
      <c r="D77"/>
      <c r="E77"/>
      <c r="F77"/>
      <c r="G77"/>
      <c r="H77"/>
      <c r="I77"/>
      <c r="J77"/>
      <c r="K77"/>
      <c r="L77"/>
      <c r="M77"/>
      <c r="N77"/>
      <c r="O77"/>
      <c r="P77"/>
      <c r="Q77"/>
    </row>
    <row r="78" spans="1:27" ht="14.1" customHeight="1" x14ac:dyDescent="0.15">
      <c r="A78"/>
      <c r="B78"/>
      <c r="C78"/>
      <c r="D78"/>
      <c r="E78"/>
      <c r="F78"/>
      <c r="G78"/>
      <c r="H78"/>
      <c r="I78"/>
      <c r="J78"/>
      <c r="K78"/>
      <c r="L78"/>
      <c r="M78"/>
      <c r="N78"/>
      <c r="O78"/>
      <c r="P78"/>
      <c r="Q78"/>
    </row>
    <row r="79" spans="1:27" ht="14.1" customHeight="1" x14ac:dyDescent="0.15">
      <c r="A79"/>
      <c r="B79"/>
      <c r="C79"/>
      <c r="D79"/>
      <c r="E79"/>
      <c r="F79"/>
      <c r="G79"/>
      <c r="H79"/>
      <c r="I79"/>
      <c r="J79"/>
      <c r="K79"/>
      <c r="L79"/>
      <c r="M79"/>
      <c r="N79"/>
      <c r="O79"/>
      <c r="P79"/>
      <c r="Q79"/>
    </row>
    <row r="80" spans="1:27" ht="14.1" customHeight="1" x14ac:dyDescent="0.15">
      <c r="A80"/>
      <c r="B80"/>
      <c r="C80"/>
      <c r="D80"/>
      <c r="E80"/>
      <c r="F80"/>
      <c r="G80"/>
      <c r="H80"/>
      <c r="I80"/>
      <c r="J80"/>
      <c r="K80"/>
      <c r="L80"/>
      <c r="M80"/>
      <c r="N80"/>
      <c r="O80"/>
      <c r="P80"/>
      <c r="Q80"/>
    </row>
    <row r="81" spans="1:17" ht="14.1" customHeight="1" x14ac:dyDescent="0.15">
      <c r="A81"/>
      <c r="B81"/>
      <c r="C81"/>
      <c r="D81"/>
      <c r="E81"/>
      <c r="F81"/>
      <c r="G81"/>
      <c r="H81"/>
      <c r="I81"/>
      <c r="J81"/>
      <c r="K81"/>
      <c r="L81"/>
      <c r="M81"/>
      <c r="N81"/>
      <c r="O81"/>
      <c r="P81"/>
      <c r="Q81"/>
    </row>
    <row r="82" spans="1:17" ht="14.1" customHeight="1" x14ac:dyDescent="0.15">
      <c r="A82"/>
      <c r="B82"/>
      <c r="C82"/>
      <c r="D82"/>
      <c r="E82"/>
      <c r="F82"/>
      <c r="G82"/>
      <c r="H82"/>
      <c r="I82"/>
      <c r="J82"/>
      <c r="K82"/>
      <c r="L82"/>
      <c r="M82"/>
      <c r="N82"/>
      <c r="O82"/>
      <c r="P82"/>
      <c r="Q82"/>
    </row>
    <row r="83" spans="1:17" ht="14.1" customHeight="1" x14ac:dyDescent="0.15">
      <c r="A83"/>
      <c r="B83"/>
      <c r="C83"/>
      <c r="D83"/>
      <c r="E83"/>
      <c r="F83"/>
      <c r="G83"/>
      <c r="H83"/>
      <c r="I83"/>
      <c r="J83"/>
      <c r="K83"/>
      <c r="L83"/>
      <c r="M83"/>
      <c r="N83"/>
      <c r="O83"/>
      <c r="P83"/>
      <c r="Q83"/>
    </row>
    <row r="84" spans="1:17" ht="14.1" customHeight="1" x14ac:dyDescent="0.15">
      <c r="A84"/>
      <c r="B84"/>
      <c r="C84"/>
      <c r="D84"/>
      <c r="E84"/>
      <c r="F84"/>
      <c r="G84"/>
      <c r="H84"/>
      <c r="I84"/>
      <c r="J84"/>
      <c r="K84"/>
      <c r="L84"/>
      <c r="M84"/>
      <c r="N84"/>
      <c r="O84"/>
      <c r="P84"/>
      <c r="Q84"/>
    </row>
    <row r="85" spans="1:17" ht="14.1" customHeight="1" x14ac:dyDescent="0.15">
      <c r="A85"/>
      <c r="B85"/>
      <c r="C85"/>
      <c r="D85"/>
      <c r="E85"/>
      <c r="F85"/>
      <c r="G85"/>
      <c r="H85"/>
      <c r="I85"/>
      <c r="J85"/>
      <c r="K85"/>
      <c r="L85"/>
      <c r="M85"/>
      <c r="N85"/>
      <c r="O85"/>
      <c r="P85"/>
      <c r="Q85"/>
    </row>
    <row r="86" spans="1:17" ht="14.1" customHeight="1" x14ac:dyDescent="0.15">
      <c r="A86"/>
      <c r="B86"/>
      <c r="C86"/>
      <c r="D86"/>
      <c r="E86"/>
      <c r="F86"/>
      <c r="G86"/>
      <c r="H86"/>
      <c r="I86"/>
      <c r="J86"/>
      <c r="K86"/>
      <c r="L86"/>
      <c r="M86"/>
      <c r="N86"/>
      <c r="O86"/>
      <c r="P86"/>
      <c r="Q86"/>
    </row>
    <row r="87" spans="1:17" ht="14.1" customHeight="1" x14ac:dyDescent="0.15">
      <c r="A87"/>
      <c r="B87"/>
      <c r="C87"/>
      <c r="D87"/>
      <c r="E87"/>
      <c r="F87"/>
      <c r="G87"/>
      <c r="H87"/>
      <c r="I87"/>
      <c r="J87"/>
      <c r="K87"/>
      <c r="L87"/>
      <c r="M87"/>
      <c r="N87"/>
      <c r="O87"/>
      <c r="P87"/>
      <c r="Q87"/>
    </row>
    <row r="88" spans="1:17" ht="14.1" customHeight="1" x14ac:dyDescent="0.15">
      <c r="A88"/>
      <c r="B88"/>
      <c r="C88"/>
      <c r="D88"/>
      <c r="E88"/>
      <c r="F88"/>
      <c r="G88"/>
      <c r="H88"/>
      <c r="I88"/>
      <c r="J88"/>
      <c r="K88"/>
      <c r="L88"/>
      <c r="M88"/>
      <c r="N88"/>
      <c r="O88"/>
      <c r="P88"/>
      <c r="Q88"/>
    </row>
    <row r="89" spans="1:17" ht="14.1" customHeight="1" x14ac:dyDescent="0.15">
      <c r="A89"/>
      <c r="B89"/>
      <c r="C89"/>
      <c r="D89"/>
      <c r="E89"/>
      <c r="F89"/>
      <c r="G89"/>
      <c r="H89"/>
      <c r="I89"/>
      <c r="J89"/>
      <c r="K89"/>
      <c r="L89"/>
      <c r="M89"/>
      <c r="N89"/>
      <c r="O89"/>
      <c r="P89"/>
      <c r="Q89"/>
    </row>
    <row r="90" spans="1:17" ht="14.1" customHeight="1" x14ac:dyDescent="0.15">
      <c r="A90"/>
      <c r="B90"/>
      <c r="C90"/>
      <c r="D90"/>
      <c r="E90"/>
      <c r="F90"/>
      <c r="G90"/>
      <c r="H90"/>
      <c r="I90"/>
      <c r="J90"/>
      <c r="K90"/>
      <c r="L90"/>
      <c r="M90"/>
      <c r="N90"/>
      <c r="O90"/>
      <c r="P90"/>
      <c r="Q90"/>
    </row>
    <row r="91" spans="1:17" ht="14.1" customHeight="1" x14ac:dyDescent="0.15">
      <c r="A91"/>
      <c r="B91"/>
      <c r="C91"/>
      <c r="D91"/>
      <c r="E91"/>
      <c r="F91"/>
      <c r="G91"/>
      <c r="H91"/>
      <c r="I91"/>
      <c r="J91"/>
      <c r="K91"/>
      <c r="L91"/>
      <c r="M91"/>
      <c r="N91"/>
      <c r="O91"/>
      <c r="P91"/>
      <c r="Q91"/>
    </row>
    <row r="92" spans="1:17" ht="14.1" customHeight="1" x14ac:dyDescent="0.15">
      <c r="A92"/>
      <c r="B92"/>
      <c r="C92"/>
      <c r="D92"/>
      <c r="E92"/>
      <c r="F92"/>
      <c r="G92"/>
      <c r="H92"/>
      <c r="I92"/>
      <c r="J92"/>
      <c r="K92"/>
      <c r="L92"/>
      <c r="M92"/>
      <c r="N92"/>
      <c r="O92"/>
      <c r="P92"/>
      <c r="Q92"/>
    </row>
    <row r="93" spans="1:17" ht="14.1" customHeight="1" x14ac:dyDescent="0.15">
      <c r="A93"/>
      <c r="B93"/>
      <c r="C93"/>
      <c r="D93"/>
      <c r="E93"/>
      <c r="F93"/>
      <c r="G93"/>
      <c r="H93"/>
      <c r="I93"/>
      <c r="J93"/>
      <c r="K93"/>
      <c r="L93"/>
      <c r="M93"/>
      <c r="N93"/>
      <c r="O93"/>
      <c r="P93"/>
      <c r="Q93"/>
    </row>
    <row r="94" spans="1:17" ht="14.1" customHeight="1" x14ac:dyDescent="0.15">
      <c r="A94"/>
      <c r="B94"/>
      <c r="C94"/>
      <c r="D94"/>
      <c r="E94"/>
      <c r="F94"/>
      <c r="G94"/>
      <c r="H94"/>
      <c r="I94"/>
      <c r="J94"/>
      <c r="K94"/>
      <c r="L94"/>
      <c r="M94"/>
      <c r="N94"/>
      <c r="O94"/>
      <c r="P94"/>
      <c r="Q94"/>
    </row>
    <row r="95" spans="1:17" ht="14.1" customHeight="1" x14ac:dyDescent="0.15">
      <c r="A95"/>
      <c r="B95"/>
      <c r="C95"/>
      <c r="D95"/>
      <c r="E95"/>
      <c r="F95"/>
      <c r="G95"/>
      <c r="H95"/>
      <c r="I95"/>
      <c r="J95"/>
      <c r="K95"/>
      <c r="L95"/>
      <c r="M95"/>
      <c r="N95"/>
      <c r="O95"/>
      <c r="P95"/>
      <c r="Q95"/>
    </row>
    <row r="96" spans="1:17" ht="14.1" customHeight="1" x14ac:dyDescent="0.15">
      <c r="A96"/>
      <c r="B96"/>
      <c r="C96"/>
      <c r="D96"/>
      <c r="E96"/>
      <c r="F96"/>
      <c r="G96"/>
      <c r="H96"/>
      <c r="I96"/>
      <c r="J96"/>
      <c r="K96"/>
      <c r="L96"/>
      <c r="M96"/>
      <c r="N96"/>
      <c r="O96"/>
      <c r="P96"/>
      <c r="Q96"/>
    </row>
    <row r="97" spans="1:17" ht="14.1" customHeight="1" x14ac:dyDescent="0.15">
      <c r="A97"/>
      <c r="B97"/>
      <c r="C97"/>
      <c r="D97"/>
      <c r="E97"/>
      <c r="F97"/>
      <c r="G97"/>
      <c r="H97"/>
      <c r="I97"/>
      <c r="J97"/>
      <c r="K97"/>
      <c r="L97"/>
      <c r="M97"/>
      <c r="N97"/>
      <c r="O97"/>
      <c r="P97"/>
      <c r="Q97"/>
    </row>
    <row r="98" spans="1:17" ht="14.1" customHeight="1" x14ac:dyDescent="0.15">
      <c r="A98"/>
      <c r="B98"/>
      <c r="C98"/>
      <c r="D98"/>
      <c r="E98"/>
      <c r="F98"/>
      <c r="G98"/>
      <c r="H98"/>
      <c r="I98"/>
      <c r="J98"/>
      <c r="K98"/>
      <c r="L98"/>
      <c r="M98"/>
      <c r="N98"/>
      <c r="O98"/>
      <c r="P98"/>
      <c r="Q98"/>
    </row>
    <row r="99" spans="1:17" ht="14.1" customHeight="1" x14ac:dyDescent="0.15">
      <c r="A99"/>
      <c r="B99"/>
      <c r="C99"/>
      <c r="D99"/>
      <c r="E99"/>
      <c r="F99"/>
      <c r="G99"/>
      <c r="H99"/>
      <c r="I99"/>
      <c r="J99"/>
      <c r="K99"/>
      <c r="L99"/>
      <c r="M99"/>
      <c r="N99"/>
      <c r="O99"/>
      <c r="P99"/>
      <c r="Q99"/>
    </row>
    <row r="100" spans="1:17" ht="14.1" customHeight="1" x14ac:dyDescent="0.15">
      <c r="A100"/>
      <c r="B100"/>
      <c r="C100"/>
      <c r="D100"/>
      <c r="E100"/>
      <c r="F100"/>
      <c r="G100"/>
      <c r="H100"/>
      <c r="I100"/>
      <c r="J100"/>
      <c r="K100"/>
      <c r="L100"/>
      <c r="M100"/>
      <c r="N100"/>
      <c r="O100"/>
      <c r="P100"/>
      <c r="Q100"/>
    </row>
    <row r="101" spans="1:17" ht="14.1" customHeight="1" x14ac:dyDescent="0.15">
      <c r="A101"/>
      <c r="B101"/>
      <c r="C101"/>
      <c r="D101"/>
      <c r="E101"/>
      <c r="F101"/>
      <c r="G101"/>
      <c r="H101"/>
      <c r="I101"/>
      <c r="J101"/>
      <c r="K101"/>
      <c r="L101"/>
      <c r="M101"/>
      <c r="N101"/>
      <c r="O101"/>
      <c r="P101"/>
      <c r="Q101"/>
    </row>
    <row r="102" spans="1:17" ht="14.1" customHeight="1" x14ac:dyDescent="0.15">
      <c r="A102"/>
      <c r="B102"/>
      <c r="C102"/>
      <c r="D102"/>
      <c r="E102"/>
      <c r="F102"/>
      <c r="G102"/>
      <c r="H102"/>
      <c r="I102"/>
      <c r="J102"/>
      <c r="K102"/>
      <c r="L102"/>
      <c r="M102"/>
      <c r="N102"/>
      <c r="O102"/>
      <c r="P102"/>
      <c r="Q102"/>
    </row>
    <row r="103" spans="1:17" ht="14.1" customHeight="1" x14ac:dyDescent="0.15">
      <c r="A103"/>
      <c r="B103"/>
      <c r="C103"/>
      <c r="D103"/>
      <c r="E103"/>
      <c r="F103"/>
      <c r="G103"/>
      <c r="H103"/>
      <c r="I103"/>
      <c r="J103"/>
      <c r="K103"/>
      <c r="L103"/>
      <c r="M103"/>
      <c r="N103"/>
      <c r="O103"/>
      <c r="P103"/>
      <c r="Q103"/>
    </row>
    <row r="104" spans="1:17" ht="14.1" customHeight="1" x14ac:dyDescent="0.15">
      <c r="A104"/>
      <c r="B104"/>
      <c r="C104"/>
      <c r="D104"/>
      <c r="E104"/>
      <c r="F104"/>
      <c r="G104"/>
      <c r="H104"/>
      <c r="I104"/>
      <c r="J104"/>
      <c r="K104"/>
      <c r="L104"/>
      <c r="M104"/>
      <c r="N104"/>
      <c r="O104"/>
      <c r="P104"/>
      <c r="Q104"/>
    </row>
    <row r="105" spans="1:17" ht="14.1" customHeight="1" x14ac:dyDescent="0.15">
      <c r="A105"/>
      <c r="B105"/>
      <c r="C105"/>
      <c r="D105"/>
      <c r="E105"/>
      <c r="F105"/>
      <c r="G105"/>
      <c r="H105"/>
      <c r="I105"/>
      <c r="J105"/>
      <c r="K105"/>
      <c r="L105"/>
      <c r="M105"/>
      <c r="N105"/>
      <c r="O105"/>
      <c r="P105"/>
      <c r="Q105"/>
    </row>
    <row r="106" spans="1:17" ht="14.1" customHeight="1" x14ac:dyDescent="0.15">
      <c r="A106"/>
      <c r="B106"/>
      <c r="C106"/>
      <c r="D106"/>
      <c r="E106"/>
      <c r="F106"/>
      <c r="G106"/>
      <c r="H106"/>
      <c r="I106"/>
      <c r="J106"/>
      <c r="K106"/>
      <c r="L106"/>
      <c r="M106"/>
      <c r="N106"/>
      <c r="O106"/>
      <c r="P106"/>
      <c r="Q106"/>
    </row>
    <row r="107" spans="1:17" ht="14.1" customHeight="1" x14ac:dyDescent="0.15">
      <c r="A107"/>
      <c r="B107"/>
      <c r="C107"/>
      <c r="D107"/>
      <c r="E107"/>
      <c r="F107"/>
      <c r="G107"/>
      <c r="H107"/>
      <c r="I107"/>
      <c r="J107"/>
      <c r="K107"/>
      <c r="L107"/>
      <c r="M107"/>
      <c r="N107"/>
      <c r="O107"/>
      <c r="P107"/>
      <c r="Q107"/>
    </row>
    <row r="108" spans="1:17" ht="14.1" customHeight="1" x14ac:dyDescent="0.15">
      <c r="A108"/>
      <c r="B108"/>
      <c r="C108"/>
      <c r="D108"/>
      <c r="E108"/>
      <c r="F108"/>
      <c r="G108"/>
      <c r="H108"/>
      <c r="I108"/>
      <c r="J108"/>
      <c r="K108"/>
      <c r="L108"/>
      <c r="M108"/>
      <c r="N108"/>
      <c r="O108"/>
      <c r="P108"/>
      <c r="Q108"/>
    </row>
    <row r="109" spans="1:17" ht="14.1" customHeight="1" x14ac:dyDescent="0.15">
      <c r="A109"/>
      <c r="B109"/>
      <c r="C109"/>
      <c r="D109"/>
      <c r="E109"/>
      <c r="F109"/>
      <c r="G109"/>
      <c r="H109"/>
      <c r="I109"/>
      <c r="J109"/>
      <c r="K109"/>
      <c r="L109"/>
      <c r="M109"/>
      <c r="N109"/>
      <c r="O109"/>
      <c r="P109"/>
      <c r="Q109"/>
    </row>
    <row r="110" spans="1:17" ht="14.1" customHeight="1" x14ac:dyDescent="0.15">
      <c r="A110"/>
      <c r="B110"/>
      <c r="C110"/>
      <c r="D110"/>
      <c r="E110"/>
      <c r="F110"/>
      <c r="G110"/>
      <c r="H110"/>
      <c r="I110"/>
      <c r="J110"/>
      <c r="K110"/>
      <c r="L110"/>
      <c r="M110"/>
      <c r="N110"/>
      <c r="O110"/>
      <c r="P110"/>
      <c r="Q110"/>
    </row>
    <row r="111" spans="1:17" ht="14.1" customHeight="1" x14ac:dyDescent="0.15">
      <c r="A111"/>
      <c r="B111"/>
      <c r="C111"/>
      <c r="D111"/>
      <c r="E111"/>
      <c r="F111"/>
      <c r="G111"/>
      <c r="H111"/>
      <c r="I111"/>
      <c r="J111"/>
      <c r="K111"/>
      <c r="L111"/>
      <c r="M111"/>
      <c r="N111"/>
      <c r="O111"/>
      <c r="P111"/>
      <c r="Q111"/>
    </row>
    <row r="112" spans="1:17" ht="14.1" customHeight="1" x14ac:dyDescent="0.15">
      <c r="A112"/>
      <c r="B112"/>
      <c r="C112"/>
      <c r="D112"/>
      <c r="E112"/>
      <c r="F112"/>
      <c r="G112"/>
      <c r="H112"/>
      <c r="I112"/>
      <c r="J112"/>
      <c r="K112"/>
      <c r="L112"/>
      <c r="M112"/>
      <c r="N112"/>
      <c r="O112"/>
      <c r="P112"/>
      <c r="Q112"/>
    </row>
    <row r="113" spans="1:17" ht="14.1" customHeight="1" x14ac:dyDescent="0.15">
      <c r="A113"/>
      <c r="B113"/>
      <c r="C113"/>
      <c r="D113"/>
      <c r="E113"/>
      <c r="F113"/>
      <c r="G113"/>
      <c r="H113"/>
      <c r="I113"/>
      <c r="J113"/>
      <c r="K113"/>
      <c r="L113"/>
      <c r="M113"/>
      <c r="N113"/>
      <c r="O113"/>
      <c r="P113"/>
      <c r="Q113"/>
    </row>
    <row r="114" spans="1:17" ht="14.1" customHeight="1" x14ac:dyDescent="0.15">
      <c r="A114"/>
      <c r="B114"/>
      <c r="C114"/>
      <c r="D114"/>
      <c r="E114"/>
      <c r="F114"/>
      <c r="G114"/>
      <c r="H114"/>
      <c r="I114"/>
      <c r="J114"/>
      <c r="K114"/>
      <c r="L114"/>
      <c r="M114"/>
      <c r="N114"/>
      <c r="O114"/>
      <c r="P114"/>
      <c r="Q114"/>
    </row>
    <row r="115" spans="1:17" ht="14.1" customHeight="1" x14ac:dyDescent="0.15">
      <c r="A115"/>
      <c r="B115"/>
      <c r="C115"/>
      <c r="D115"/>
      <c r="E115"/>
      <c r="F115"/>
      <c r="G115"/>
      <c r="H115"/>
      <c r="I115"/>
      <c r="J115"/>
      <c r="K115"/>
      <c r="L115"/>
      <c r="M115"/>
      <c r="N115"/>
      <c r="O115"/>
      <c r="P115"/>
      <c r="Q115"/>
    </row>
    <row r="116" spans="1:17" ht="14.1" customHeight="1" x14ac:dyDescent="0.15">
      <c r="A116"/>
      <c r="B116"/>
      <c r="C116"/>
      <c r="D116"/>
      <c r="E116"/>
      <c r="F116"/>
      <c r="G116"/>
      <c r="H116"/>
      <c r="I116"/>
      <c r="J116"/>
      <c r="K116"/>
      <c r="L116"/>
      <c r="M116"/>
      <c r="N116"/>
      <c r="O116"/>
      <c r="P116"/>
      <c r="Q116"/>
    </row>
  </sheetData>
  <sheetProtection selectLockedCells="1" selectUnlockedCells="1"/>
  <mergeCells count="100">
    <mergeCell ref="B2:C3"/>
    <mergeCell ref="D2:H3"/>
    <mergeCell ref="I2:J3"/>
    <mergeCell ref="K2:M3"/>
    <mergeCell ref="P2:X3"/>
    <mergeCell ref="X4:X5"/>
    <mergeCell ref="B5:C6"/>
    <mergeCell ref="D5:D6"/>
    <mergeCell ref="F5:G6"/>
    <mergeCell ref="H5:I6"/>
    <mergeCell ref="J5:K6"/>
    <mergeCell ref="L5:M6"/>
    <mergeCell ref="P4:Q5"/>
    <mergeCell ref="R4:R5"/>
    <mergeCell ref="S4:T5"/>
    <mergeCell ref="U4:U5"/>
    <mergeCell ref="V4:W5"/>
    <mergeCell ref="B8:D8"/>
    <mergeCell ref="F8:G9"/>
    <mergeCell ref="I8:M8"/>
    <mergeCell ref="P8:U8"/>
    <mergeCell ref="I9:M29"/>
    <mergeCell ref="P9:U10"/>
    <mergeCell ref="P12:P13"/>
    <mergeCell ref="Q12:Q13"/>
    <mergeCell ref="R12:R13"/>
    <mergeCell ref="P14:X14"/>
    <mergeCell ref="V9:V10"/>
    <mergeCell ref="W9:W10"/>
    <mergeCell ref="X9:X10"/>
    <mergeCell ref="P11:R11"/>
    <mergeCell ref="S11:U11"/>
    <mergeCell ref="V11:X11"/>
    <mergeCell ref="P15:X16"/>
    <mergeCell ref="P17:X17"/>
    <mergeCell ref="B18:C18"/>
    <mergeCell ref="P19:U19"/>
    <mergeCell ref="P20:U21"/>
    <mergeCell ref="V20:V21"/>
    <mergeCell ref="W20:W21"/>
    <mergeCell ref="X20:X21"/>
    <mergeCell ref="B21:B22"/>
    <mergeCell ref="C21:G22"/>
    <mergeCell ref="P22:R22"/>
    <mergeCell ref="S22:U22"/>
    <mergeCell ref="V22:X22"/>
    <mergeCell ref="C23:D23"/>
    <mergeCell ref="F23:G23"/>
    <mergeCell ref="P23:P24"/>
    <mergeCell ref="Q23:Q24"/>
    <mergeCell ref="R23:R24"/>
    <mergeCell ref="B24:G24"/>
    <mergeCell ref="B31:M31"/>
    <mergeCell ref="P31:U32"/>
    <mergeCell ref="V31:V32"/>
    <mergeCell ref="W31:W32"/>
    <mergeCell ref="X31:X32"/>
    <mergeCell ref="B32:M35"/>
    <mergeCell ref="P33:R33"/>
    <mergeCell ref="S33:U33"/>
    <mergeCell ref="V33:X33"/>
    <mergeCell ref="P34:P35"/>
    <mergeCell ref="Q34:Q35"/>
    <mergeCell ref="R34:R35"/>
    <mergeCell ref="B25:G29"/>
    <mergeCell ref="P25:X25"/>
    <mergeCell ref="P26:X27"/>
    <mergeCell ref="P28:X28"/>
    <mergeCell ref="P30:U30"/>
    <mergeCell ref="P36:X36"/>
    <mergeCell ref="P37:X38"/>
    <mergeCell ref="P39:X39"/>
    <mergeCell ref="P41:U41"/>
    <mergeCell ref="P42:U43"/>
    <mergeCell ref="V42:V43"/>
    <mergeCell ref="W42:W43"/>
    <mergeCell ref="X42:X43"/>
    <mergeCell ref="P44:R44"/>
    <mergeCell ref="S44:U44"/>
    <mergeCell ref="V44:X44"/>
    <mergeCell ref="P45:P46"/>
    <mergeCell ref="Q45:Q46"/>
    <mergeCell ref="R45:R46"/>
    <mergeCell ref="P47:X47"/>
    <mergeCell ref="P48:X49"/>
    <mergeCell ref="P50:X50"/>
    <mergeCell ref="P52:U52"/>
    <mergeCell ref="P53:U54"/>
    <mergeCell ref="V53:V54"/>
    <mergeCell ref="W53:W54"/>
    <mergeCell ref="X53:X54"/>
    <mergeCell ref="P58:X58"/>
    <mergeCell ref="P59:X60"/>
    <mergeCell ref="P61:X61"/>
    <mergeCell ref="P55:R55"/>
    <mergeCell ref="S55:U55"/>
    <mergeCell ref="V55:X55"/>
    <mergeCell ref="P56:P57"/>
    <mergeCell ref="Q56:Q57"/>
    <mergeCell ref="R56:R57"/>
  </mergeCells>
  <phoneticPr fontId="53"/>
  <dataValidations count="4">
    <dataValidation type="list" operator="equal" allowBlank="1" sqref="M2:M3">
      <formula1>$AD$2:$AD$12</formula1>
      <formula2>0</formula2>
    </dataValidation>
    <dataValidation operator="equal" allowBlank="1" sqref="F11:G16">
      <formula1>$AF$35:$AF$36</formula1>
      <formula2>0</formula2>
    </dataValidation>
    <dataValidation type="list" operator="equal" allowBlank="1" sqref="L2">
      <formula1>$AB$3:$AB$6</formula1>
      <formula2>0</formula2>
    </dataValidation>
    <dataValidation type="list" operator="equal" allowBlank="1" showErrorMessage="1" sqref="M5:M6">
      <formula1>$A$2:$A$8</formula1>
      <formula2>0</formula2>
    </dataValidation>
  </dataValidations>
  <pageMargins left="0.78749999999999998" right="0.78749999999999998" top="1.0527777777777778" bottom="1.0527777777777778" header="0.78749999999999998" footer="0.78749999999999998"/>
  <pageSetup paperSize="9" firstPageNumber="0" orientation="portrait" horizontalDpi="300" verticalDpi="300" r:id="rId1"/>
  <headerFooter alignWithMargins="0">
    <oddHeader>&amp;C&amp;"Times New Roman,標準"&amp;12&amp;A</oddHeader>
    <oddFooter>&amp;C&amp;"Times New Roman,標準"&amp;12ページ &amp;P</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4097" r:id="rId4" name="察知">
              <controlPr defaultSize="0" autoFill="0" autoLine="0" autoPict="0" altText="察知">
                <anchor moveWithCells="1" sizeWithCells="1">
                  <from>
                    <xdr:col>6</xdr:col>
                    <xdr:colOff>76200</xdr:colOff>
                    <xdr:row>11</xdr:row>
                    <xdr:rowOff>0</xdr:rowOff>
                  </from>
                  <to>
                    <xdr:col>7</xdr:col>
                    <xdr:colOff>47625</xdr:colOff>
                    <xdr:row>11</xdr:row>
                    <xdr:rowOff>161925</xdr:rowOff>
                  </to>
                </anchor>
              </controlPr>
            </control>
          </mc:Choice>
        </mc:AlternateContent>
        <mc:AlternateContent xmlns:mc="http://schemas.openxmlformats.org/markup-compatibility/2006">
          <mc:Choice Requires="x14">
            <control shapeId="4098" r:id="rId5" name="技術">
              <controlPr defaultSize="0" autoFill="0" autoLine="0" autoPict="0" altText="技術">
                <anchor moveWithCells="1" sizeWithCells="1">
                  <from>
                    <xdr:col>6</xdr:col>
                    <xdr:colOff>76200</xdr:colOff>
                    <xdr:row>12</xdr:row>
                    <xdr:rowOff>0</xdr:rowOff>
                  </from>
                  <to>
                    <xdr:col>7</xdr:col>
                    <xdr:colOff>47625</xdr:colOff>
                    <xdr:row>12</xdr:row>
                    <xdr:rowOff>161925</xdr:rowOff>
                  </to>
                </anchor>
              </controlPr>
            </control>
          </mc:Choice>
        </mc:AlternateContent>
        <mc:AlternateContent xmlns:mc="http://schemas.openxmlformats.org/markup-compatibility/2006">
          <mc:Choice Requires="x14">
            <control shapeId="4099" r:id="rId6" name="俊敏">
              <controlPr defaultSize="0" autoFill="0" autoLine="0" autoPict="0" altText="俊敏">
                <anchor moveWithCells="1" sizeWithCells="1">
                  <from>
                    <xdr:col>6</xdr:col>
                    <xdr:colOff>76200</xdr:colOff>
                    <xdr:row>13</xdr:row>
                    <xdr:rowOff>0</xdr:rowOff>
                  </from>
                  <to>
                    <xdr:col>7</xdr:col>
                    <xdr:colOff>47625</xdr:colOff>
                    <xdr:row>13</xdr:row>
                    <xdr:rowOff>161925</xdr:rowOff>
                  </to>
                </anchor>
              </controlPr>
            </control>
          </mc:Choice>
        </mc:AlternateContent>
        <mc:AlternateContent xmlns:mc="http://schemas.openxmlformats.org/markup-compatibility/2006">
          <mc:Choice Requires="x14">
            <control shapeId="4100" r:id="rId7" name="読心">
              <controlPr defaultSize="0" autoFill="0" autoLine="0" autoPict="0" altText="読心">
                <anchor moveWithCells="1" sizeWithCells="1">
                  <from>
                    <xdr:col>6</xdr:col>
                    <xdr:colOff>76200</xdr:colOff>
                    <xdr:row>14</xdr:row>
                    <xdr:rowOff>0</xdr:rowOff>
                  </from>
                  <to>
                    <xdr:col>7</xdr:col>
                    <xdr:colOff>47625</xdr:colOff>
                    <xdr:row>14</xdr:row>
                    <xdr:rowOff>161925</xdr:rowOff>
                  </to>
                </anchor>
              </controlPr>
            </control>
          </mc:Choice>
        </mc:AlternateContent>
        <mc:AlternateContent xmlns:mc="http://schemas.openxmlformats.org/markup-compatibility/2006">
          <mc:Choice Requires="x14">
            <control shapeId="4101" r:id="rId8" name="幸運">
              <controlPr defaultSize="0" autoFill="0" autoLine="0" autoPict="0" altText="幸運">
                <anchor moveWithCells="1" sizeWithCells="1">
                  <from>
                    <xdr:col>6</xdr:col>
                    <xdr:colOff>76200</xdr:colOff>
                    <xdr:row>15</xdr:row>
                    <xdr:rowOff>0</xdr:rowOff>
                  </from>
                  <to>
                    <xdr:col>7</xdr:col>
                    <xdr:colOff>47625</xdr:colOff>
                    <xdr:row>15</xdr:row>
                    <xdr:rowOff>161925</xdr:rowOff>
                  </to>
                </anchor>
              </controlPr>
            </control>
          </mc:Choice>
        </mc:AlternateContent>
        <mc:AlternateContent xmlns:mc="http://schemas.openxmlformats.org/markup-compatibility/2006">
          <mc:Choice Requires="x14">
            <control shapeId="4102" r:id="rId9" name="閃き">
              <controlPr defaultSize="0" autoFill="0" autoLine="0" autoPict="0" altText="閃き">
                <anchor moveWithCells="1" sizeWithCells="1">
                  <from>
                    <xdr:col>5</xdr:col>
                    <xdr:colOff>76200</xdr:colOff>
                    <xdr:row>15</xdr:row>
                    <xdr:rowOff>0</xdr:rowOff>
                  </from>
                  <to>
                    <xdr:col>6</xdr:col>
                    <xdr:colOff>38100</xdr:colOff>
                    <xdr:row>15</xdr:row>
                    <xdr:rowOff>161925</xdr:rowOff>
                  </to>
                </anchor>
              </controlPr>
            </control>
          </mc:Choice>
        </mc:AlternateContent>
        <mc:AlternateContent xmlns:mc="http://schemas.openxmlformats.org/markup-compatibility/2006">
          <mc:Choice Requires="x14">
            <control shapeId="4103" r:id="rId10" name="話術">
              <controlPr defaultSize="0" autoFill="0" autoLine="0" autoPict="0" altText="話術">
                <anchor moveWithCells="1" sizeWithCells="1">
                  <from>
                    <xdr:col>5</xdr:col>
                    <xdr:colOff>76200</xdr:colOff>
                    <xdr:row>14</xdr:row>
                    <xdr:rowOff>0</xdr:rowOff>
                  </from>
                  <to>
                    <xdr:col>6</xdr:col>
                    <xdr:colOff>38100</xdr:colOff>
                    <xdr:row>14</xdr:row>
                    <xdr:rowOff>161925</xdr:rowOff>
                  </to>
                </anchor>
              </controlPr>
            </control>
          </mc:Choice>
        </mc:AlternateContent>
        <mc:AlternateContent xmlns:mc="http://schemas.openxmlformats.org/markup-compatibility/2006">
          <mc:Choice Requires="x14">
            <control shapeId="4104" r:id="rId11" name="隠密">
              <controlPr defaultSize="0" autoFill="0" autoLine="0" autoPict="0" altText="隠密">
                <anchor moveWithCells="1" sizeWithCells="1">
                  <from>
                    <xdr:col>5</xdr:col>
                    <xdr:colOff>76200</xdr:colOff>
                    <xdr:row>13</xdr:row>
                    <xdr:rowOff>0</xdr:rowOff>
                  </from>
                  <to>
                    <xdr:col>6</xdr:col>
                    <xdr:colOff>38100</xdr:colOff>
                    <xdr:row>13</xdr:row>
                    <xdr:rowOff>161925</xdr:rowOff>
                  </to>
                </anchor>
              </controlPr>
            </control>
          </mc:Choice>
        </mc:AlternateContent>
        <mc:AlternateContent xmlns:mc="http://schemas.openxmlformats.org/markup-compatibility/2006">
          <mc:Choice Requires="x14">
            <control shapeId="4105" r:id="rId12" name="知識">
              <controlPr defaultSize="0" autoFill="0" autoLine="0" autoPict="0" altText="知識">
                <anchor moveWithCells="1" sizeWithCells="1">
                  <from>
                    <xdr:col>5</xdr:col>
                    <xdr:colOff>76200</xdr:colOff>
                    <xdr:row>12</xdr:row>
                    <xdr:rowOff>0</xdr:rowOff>
                  </from>
                  <to>
                    <xdr:col>6</xdr:col>
                    <xdr:colOff>38100</xdr:colOff>
                    <xdr:row>12</xdr:row>
                    <xdr:rowOff>161925</xdr:rowOff>
                  </to>
                </anchor>
              </controlPr>
            </control>
          </mc:Choice>
        </mc:AlternateContent>
        <mc:AlternateContent xmlns:mc="http://schemas.openxmlformats.org/markup-compatibility/2006">
          <mc:Choice Requires="x14">
            <control shapeId="4106" r:id="rId13" name="観察眼">
              <controlPr defaultSize="0" autoFill="0" autoLine="0" autoPict="0" altText="観察眼">
                <anchor moveWithCells="1" sizeWithCells="1">
                  <from>
                    <xdr:col>5</xdr:col>
                    <xdr:colOff>76200</xdr:colOff>
                    <xdr:row>11</xdr:row>
                    <xdr:rowOff>0</xdr:rowOff>
                  </from>
                  <to>
                    <xdr:col>6</xdr:col>
                    <xdr:colOff>38100</xdr:colOff>
                    <xdr:row>11</xdr:row>
                    <xdr:rowOff>161925</xdr:rowOff>
                  </to>
                </anchor>
              </controlPr>
            </control>
          </mc:Choice>
        </mc:AlternateContent>
        <mc:AlternateContent xmlns:mc="http://schemas.openxmlformats.org/markup-compatibility/2006">
          <mc:Choice Requires="x14">
            <control shapeId="4107" r:id="rId14" name="力技">
              <controlPr defaultSize="0" autoFill="0" autoLine="0" autoPict="0" altText="力技">
                <anchor moveWithCells="1" sizeWithCells="1">
                  <from>
                    <xdr:col>5</xdr:col>
                    <xdr:colOff>76200</xdr:colOff>
                    <xdr:row>10</xdr:row>
                    <xdr:rowOff>0</xdr:rowOff>
                  </from>
                  <to>
                    <xdr:col>6</xdr:col>
                    <xdr:colOff>38100</xdr:colOff>
                    <xdr:row>10</xdr:row>
                    <xdr:rowOff>161925</xdr:rowOff>
                  </to>
                </anchor>
              </controlPr>
            </control>
          </mc:Choice>
        </mc:AlternateContent>
        <mc:AlternateContent xmlns:mc="http://schemas.openxmlformats.org/markup-compatibility/2006">
          <mc:Choice Requires="x14">
            <control shapeId="4108" r:id="rId15" name="威圧">
              <controlPr defaultSize="0" autoFill="0" autoLine="0" autoPict="0" altText="威圧">
                <anchor moveWithCells="1" sizeWithCells="1">
                  <from>
                    <xdr:col>6</xdr:col>
                    <xdr:colOff>76200</xdr:colOff>
                    <xdr:row>10</xdr:row>
                    <xdr:rowOff>0</xdr:rowOff>
                  </from>
                  <to>
                    <xdr:col>7</xdr:col>
                    <xdr:colOff>47625</xdr:colOff>
                    <xdr:row>10</xdr:row>
                    <xdr:rowOff>161925</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8">
        <x14:dataValidation type="list" operator="equal" allowBlank="1">
          <x14:formula1>
            <xm:f>リスト!$Z$2:$Z$16</xm:f>
          </x14:formula1>
          <x14:formula2>
            <xm:f>0</xm:f>
          </x14:formula2>
          <xm:sqref>V12:W13 V23:W24 V34:W35 V45:W46 V56:W57</xm:sqref>
        </x14:dataValidation>
        <x14:dataValidation type="list" operator="equal" allowBlank="1">
          <x14:formula1>
            <xm:f>リスト!$Z$2:$Z$16</xm:f>
          </x14:formula1>
          <x14:formula2>
            <xm:f>0</xm:f>
          </x14:formula2>
          <xm:sqref>X12:X13 X23:X24 X34:X35 X45:X46 X56:X57</xm:sqref>
        </x14:dataValidation>
        <x14:dataValidation type="list" operator="equal" allowBlank="1">
          <x14:formula1>
            <xm:f>リスト!$V$2:$V$8</xm:f>
          </x14:formula1>
          <x14:formula2>
            <xm:f>0</xm:f>
          </x14:formula2>
          <xm:sqref>P12:R12 P23:R23 P34:R34 P45:R45 P56:R56</xm:sqref>
        </x14:dataValidation>
        <x14:dataValidation type="list" operator="equal" allowBlank="1">
          <x14:formula1>
            <xm:f>リスト!$T$26:$T$33</xm:f>
          </x14:formula1>
          <x14:formula2>
            <xm:f>0</xm:f>
          </x14:formula2>
          <xm:sqref>V9 V20 V31 V42 V53</xm:sqref>
        </x14:dataValidation>
        <x14:dataValidation type="list" operator="equal" allowBlank="1">
          <x14:formula1>
            <xm:f>リスト!$X$2:$X$46</xm:f>
          </x14:formula1>
          <x14:formula2>
            <xm:f>0</xm:f>
          </x14:formula2>
          <xm:sqref>S12:U13 S23:U24 S34:U35 S45:U46 S56:U57</xm:sqref>
        </x14:dataValidation>
        <x14:dataValidation type="list" operator="equal" allowBlank="1" showErrorMessage="1">
          <x14:formula1>
            <xm:f>リスト!$A$2:$A$8</xm:f>
          </x14:formula1>
          <x14:formula2>
            <xm:f>0</xm:f>
          </x14:formula2>
          <xm:sqref>L5</xm:sqref>
        </x14:dataValidation>
        <x14:dataValidation type="list" operator="equal" allowBlank="1">
          <x14:formula1>
            <xm:f>リスト!$AD$2:$AD$12</xm:f>
          </x14:formula1>
          <x14:formula2>
            <xm:f>0</xm:f>
          </x14:formula2>
          <xm:sqref>D5</xm:sqref>
        </x14:dataValidation>
        <x14:dataValidation type="list" operator="equal" allowBlank="1">
          <x14:formula1>
            <xm:f>リスト!$AB$2:$AB$5</xm:f>
          </x14:formula1>
          <x14:formula2>
            <xm:f>0</xm:f>
          </x14:formula2>
          <xm:sqref>K2</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T85"/>
  <sheetViews>
    <sheetView tabSelected="1" zoomScale="80" zoomScaleNormal="80" workbookViewId="0">
      <pane xSplit="12" topLeftCell="M1" activePane="topRight" state="frozen"/>
      <selection pane="topRight" activeCell="K10" sqref="K10"/>
    </sheetView>
  </sheetViews>
  <sheetFormatPr defaultColWidth="6.85546875" defaultRowHeight="14.1" customHeight="1" x14ac:dyDescent="0.15"/>
  <sheetData>
    <row r="1" spans="1:254" ht="14.1" customHeight="1" x14ac:dyDescent="0.15">
      <c r="A1" t="s">
        <v>919</v>
      </c>
    </row>
    <row r="2" spans="1:254" ht="14.1" customHeight="1" x14ac:dyDescent="0.15">
      <c r="A2" t="s">
        <v>920</v>
      </c>
    </row>
    <row r="3" spans="1:254" ht="14.1" customHeight="1" x14ac:dyDescent="0.15">
      <c r="A3" t="s">
        <v>921</v>
      </c>
    </row>
    <row r="4" spans="1:254" ht="14.1" customHeight="1" x14ac:dyDescent="0.15">
      <c r="A4" t="s">
        <v>922</v>
      </c>
    </row>
    <row r="5" spans="1:254" ht="14.1" customHeight="1" x14ac:dyDescent="0.15">
      <c r="A5" t="s">
        <v>923</v>
      </c>
    </row>
    <row r="7" spans="1:254" ht="14.1" customHeight="1" x14ac:dyDescent="0.15">
      <c r="A7" s="20"/>
      <c r="B7" s="167" t="s">
        <v>719</v>
      </c>
      <c r="C7" s="439" t="s">
        <v>924</v>
      </c>
      <c r="D7" s="439"/>
      <c r="E7" s="439"/>
      <c r="F7" s="439"/>
      <c r="G7" s="439"/>
      <c r="H7" s="439"/>
    </row>
    <row r="8" spans="1:254" ht="14.1" customHeight="1" x14ac:dyDescent="0.15">
      <c r="A8" s="168"/>
      <c r="B8" s="167" t="s">
        <v>720</v>
      </c>
      <c r="C8" s="440"/>
      <c r="D8" s="440"/>
      <c r="E8" s="440"/>
      <c r="F8" s="440"/>
      <c r="G8" s="440"/>
      <c r="H8" s="440"/>
    </row>
    <row r="9" spans="1:254" s="170" customFormat="1" ht="14.1" customHeight="1" x14ac:dyDescent="0.15">
      <c r="A9"/>
      <c r="B9"/>
      <c r="C9" s="440"/>
      <c r="D9" s="440"/>
      <c r="E9" s="440"/>
      <c r="F9" s="440"/>
      <c r="G9" s="440"/>
      <c r="H9" s="440"/>
      <c r="I9"/>
      <c r="J9" s="169"/>
      <c r="K9" s="169"/>
      <c r="L9" s="169"/>
      <c r="M9" s="441" t="s">
        <v>925</v>
      </c>
      <c r="N9" s="437" t="s">
        <v>926</v>
      </c>
      <c r="O9" s="437"/>
      <c r="P9" s="437"/>
      <c r="Q9" s="437"/>
      <c r="R9" s="437"/>
      <c r="S9" s="437"/>
      <c r="T9" s="437"/>
      <c r="U9" s="437"/>
      <c r="V9" s="437"/>
      <c r="W9" s="437"/>
      <c r="X9" s="437"/>
      <c r="Y9" s="437"/>
      <c r="Z9" s="437"/>
      <c r="AA9" s="437"/>
      <c r="AB9" s="437"/>
      <c r="AC9" s="437"/>
      <c r="AD9" s="437"/>
      <c r="AE9" s="437"/>
      <c r="AF9" s="437"/>
      <c r="AG9" s="437"/>
      <c r="AH9" s="437"/>
      <c r="AI9" s="437"/>
      <c r="AJ9" s="437"/>
      <c r="AK9" s="437"/>
      <c r="AL9" s="437"/>
      <c r="AM9" s="437"/>
      <c r="AN9" s="437"/>
      <c r="AO9" s="437"/>
      <c r="AP9" s="437"/>
      <c r="AQ9" s="437"/>
      <c r="AR9" s="437"/>
      <c r="AS9" s="437"/>
      <c r="AT9" s="437"/>
      <c r="AU9" s="437"/>
      <c r="AV9" s="437"/>
      <c r="AW9" s="437"/>
      <c r="AX9" s="437"/>
      <c r="AY9" s="437"/>
      <c r="AZ9" s="437"/>
      <c r="BA9" s="437"/>
      <c r="BB9" s="437"/>
      <c r="BC9" s="437"/>
      <c r="BD9" s="437"/>
      <c r="BE9" s="437"/>
      <c r="BF9" s="437"/>
      <c r="BG9" s="437"/>
      <c r="BH9" s="437"/>
      <c r="BI9" s="437"/>
      <c r="BJ9" s="437"/>
      <c r="BK9" s="437"/>
      <c r="BL9" s="437"/>
      <c r="BM9" s="437"/>
      <c r="BN9" s="437"/>
      <c r="BO9" s="437"/>
      <c r="BP9" s="437"/>
      <c r="BQ9" s="437"/>
      <c r="BR9" s="437"/>
      <c r="BS9" s="437"/>
      <c r="BT9" s="437"/>
      <c r="BU9" s="437"/>
      <c r="BV9" s="437"/>
      <c r="BW9" s="437"/>
      <c r="BX9" s="437"/>
      <c r="BY9" s="437"/>
      <c r="BZ9" s="437"/>
      <c r="CA9" s="437"/>
      <c r="CB9" s="437"/>
      <c r="CC9" s="437"/>
      <c r="CD9" s="437"/>
      <c r="CE9" s="437"/>
      <c r="CF9" s="437"/>
      <c r="CG9" s="437"/>
      <c r="CH9" s="437"/>
      <c r="CI9" s="437"/>
      <c r="CJ9" s="437"/>
      <c r="CK9" s="437"/>
      <c r="CL9" s="437"/>
      <c r="CM9" s="437"/>
      <c r="CN9" s="437"/>
      <c r="CO9" s="437"/>
      <c r="CP9" s="437"/>
      <c r="CQ9" s="437"/>
      <c r="CR9" s="437"/>
      <c r="CS9" s="437"/>
      <c r="CT9" s="437"/>
      <c r="CU9" s="437"/>
      <c r="CV9" s="437"/>
      <c r="CW9" s="437"/>
      <c r="CX9" s="437"/>
      <c r="CY9" s="437"/>
      <c r="CZ9" s="437"/>
      <c r="DA9" s="437"/>
      <c r="DB9" s="437"/>
      <c r="DC9" s="437"/>
      <c r="DD9" s="437"/>
      <c r="DE9" s="437"/>
      <c r="DF9" s="437"/>
      <c r="DG9" s="437"/>
      <c r="DH9" s="437"/>
      <c r="DI9" s="437"/>
      <c r="DJ9" s="437"/>
      <c r="DK9" s="437"/>
      <c r="DL9" s="437"/>
      <c r="DM9" s="437"/>
      <c r="DN9" s="437"/>
      <c r="DO9" s="437"/>
      <c r="DP9" s="437"/>
      <c r="DQ9" s="437"/>
      <c r="DR9" s="437"/>
      <c r="DS9" s="437"/>
      <c r="DT9" s="437"/>
      <c r="DU9" s="437"/>
      <c r="DV9" s="437"/>
      <c r="DW9" s="437"/>
      <c r="DX9" s="437"/>
      <c r="DY9" s="437"/>
      <c r="DZ9" s="437"/>
      <c r="EA9" s="437"/>
      <c r="EB9" s="437"/>
      <c r="EC9" s="437"/>
      <c r="ED9" s="437"/>
      <c r="EE9" s="437"/>
      <c r="EF9" s="437"/>
      <c r="EG9" s="437"/>
      <c r="EH9" s="437"/>
      <c r="EI9" s="437"/>
      <c r="EJ9" s="437"/>
      <c r="EK9" s="437"/>
      <c r="EL9" s="437"/>
      <c r="EM9" s="437"/>
      <c r="EN9" s="437"/>
      <c r="EO9" s="437"/>
      <c r="EP9" s="437"/>
      <c r="EQ9" s="437"/>
      <c r="ER9" s="437"/>
      <c r="ES9" s="437"/>
      <c r="ET9" s="437"/>
      <c r="EU9" s="437"/>
      <c r="EV9" s="437"/>
      <c r="EW9" s="437"/>
      <c r="EX9" s="437"/>
      <c r="EY9" s="437"/>
      <c r="EZ9" s="437"/>
      <c r="FA9" s="437"/>
      <c r="FB9" s="437"/>
      <c r="FC9" s="437"/>
      <c r="FD9" s="437"/>
      <c r="FE9" s="437"/>
      <c r="FF9" s="437"/>
      <c r="FG9" s="437"/>
      <c r="FH9" s="437"/>
      <c r="FI9" s="437"/>
      <c r="FJ9" s="437"/>
      <c r="FK9" s="437"/>
      <c r="FL9" s="437"/>
      <c r="FM9" s="437"/>
      <c r="FN9" s="437"/>
      <c r="FO9" s="437"/>
      <c r="FP9" s="437"/>
      <c r="FQ9" s="437"/>
      <c r="FR9" s="437"/>
      <c r="FS9" s="437"/>
      <c r="FT9" s="437"/>
      <c r="FU9" s="437"/>
      <c r="FV9" s="437"/>
      <c r="FW9" s="437"/>
      <c r="FX9" s="437"/>
      <c r="FY9" s="437"/>
      <c r="FZ9" s="437"/>
      <c r="GA9" s="437"/>
      <c r="GB9" s="437"/>
      <c r="GC9" s="437"/>
      <c r="GD9" s="437"/>
      <c r="GE9" s="437"/>
      <c r="GF9" s="437"/>
      <c r="GG9" s="437"/>
      <c r="GH9" s="437"/>
      <c r="GI9" s="437"/>
      <c r="GJ9" s="437"/>
      <c r="GK9" s="437"/>
      <c r="GL9" s="437"/>
      <c r="GM9" s="437"/>
      <c r="GN9" s="437"/>
      <c r="GO9" s="437"/>
      <c r="GP9" s="437"/>
      <c r="GQ9" s="437"/>
      <c r="GR9" s="437"/>
      <c r="GS9" s="437"/>
      <c r="GT9" s="437"/>
      <c r="GU9" s="437"/>
      <c r="GV9" s="437"/>
      <c r="GW9" s="437"/>
      <c r="GX9" s="437"/>
      <c r="GY9" s="437"/>
      <c r="GZ9" s="437"/>
      <c r="HA9" s="437"/>
      <c r="HB9" s="437"/>
      <c r="HC9" s="437"/>
      <c r="HD9" s="437"/>
      <c r="HE9" s="437"/>
      <c r="HF9" s="437"/>
      <c r="HG9" s="437"/>
      <c r="HH9" s="437"/>
      <c r="HI9" s="437"/>
      <c r="HJ9" s="437"/>
      <c r="HK9" s="437"/>
      <c r="HL9" s="437"/>
      <c r="HM9" s="437"/>
      <c r="HN9" s="437"/>
      <c r="HO9" s="437"/>
      <c r="HP9" s="437"/>
      <c r="HQ9" s="437"/>
      <c r="HR9" s="437"/>
      <c r="HS9" s="437"/>
      <c r="HT9" s="437"/>
      <c r="HU9" s="437"/>
      <c r="HV9" s="437"/>
      <c r="HW9" s="437"/>
      <c r="HX9" s="437"/>
      <c r="HY9" s="437"/>
      <c r="HZ9" s="437"/>
      <c r="IA9" s="437"/>
      <c r="IB9" s="437"/>
      <c r="IC9" s="437"/>
      <c r="ID9" s="437"/>
      <c r="IE9" s="437"/>
      <c r="IF9" s="437"/>
      <c r="IG9" s="437"/>
      <c r="IH9" s="437"/>
      <c r="II9" s="437"/>
      <c r="IJ9" s="437"/>
      <c r="IK9" s="437"/>
      <c r="IL9" s="438"/>
      <c r="IM9"/>
      <c r="IN9"/>
      <c r="IO9"/>
      <c r="IP9"/>
      <c r="IQ9"/>
      <c r="IR9"/>
      <c r="IS9"/>
      <c r="IT9"/>
    </row>
    <row r="10" spans="1:254" s="170" customFormat="1" ht="14.1" customHeight="1" x14ac:dyDescent="0.15">
      <c r="A10" s="23"/>
      <c r="B10" s="167" t="s">
        <v>721</v>
      </c>
      <c r="C10" s="440"/>
      <c r="D10" s="440"/>
      <c r="E10" s="440"/>
      <c r="F10" s="440"/>
      <c r="G10" s="440"/>
      <c r="H10" s="440"/>
      <c r="I10" s="169"/>
      <c r="J10" s="169"/>
      <c r="K10" s="169"/>
      <c r="L10" s="169"/>
      <c r="M10" s="441"/>
      <c r="N10" s="441"/>
      <c r="O10" s="441"/>
      <c r="P10" s="437"/>
      <c r="Q10" s="437"/>
      <c r="R10" s="437"/>
      <c r="S10" s="437"/>
      <c r="T10" s="437"/>
      <c r="U10" s="437"/>
      <c r="V10" s="437"/>
      <c r="W10" s="437"/>
      <c r="X10" s="437"/>
      <c r="Y10" s="437"/>
      <c r="Z10" s="437"/>
      <c r="AA10" s="437"/>
      <c r="AB10" s="437"/>
      <c r="AC10" s="437"/>
      <c r="AD10" s="437"/>
      <c r="AE10" s="437"/>
      <c r="AF10" s="437"/>
      <c r="AG10" s="437"/>
      <c r="AH10" s="437"/>
      <c r="AI10" s="437"/>
      <c r="AJ10" s="437"/>
      <c r="AK10" s="437"/>
      <c r="AL10" s="437"/>
      <c r="AM10" s="437"/>
      <c r="AN10" s="437"/>
      <c r="AO10" s="437"/>
      <c r="AP10" s="437"/>
      <c r="AQ10" s="437"/>
      <c r="AR10" s="437"/>
      <c r="AS10" s="437"/>
      <c r="AT10" s="437"/>
      <c r="AU10" s="437"/>
      <c r="AV10" s="437"/>
      <c r="AW10" s="437"/>
      <c r="AX10" s="437"/>
      <c r="AY10" s="437"/>
      <c r="AZ10" s="437"/>
      <c r="BA10" s="437"/>
      <c r="BB10" s="437"/>
      <c r="BC10" s="437"/>
      <c r="BD10" s="437"/>
      <c r="BE10" s="437"/>
      <c r="BF10" s="437"/>
      <c r="BG10" s="437"/>
      <c r="BH10" s="437"/>
      <c r="BI10" s="437"/>
      <c r="BJ10" s="437"/>
      <c r="BK10" s="437"/>
      <c r="BL10" s="437"/>
      <c r="BM10" s="437"/>
      <c r="BN10" s="437"/>
      <c r="BO10" s="437"/>
      <c r="BP10" s="437"/>
      <c r="BQ10" s="437"/>
      <c r="BR10" s="437"/>
      <c r="BS10" s="437"/>
      <c r="BT10" s="437"/>
      <c r="BU10" s="437"/>
      <c r="BV10" s="437"/>
      <c r="BW10" s="437"/>
      <c r="BX10" s="437"/>
      <c r="BY10" s="437"/>
      <c r="BZ10" s="437"/>
      <c r="CA10" s="437"/>
      <c r="CB10" s="437"/>
      <c r="CC10" s="437"/>
      <c r="CD10" s="437"/>
      <c r="CE10" s="437"/>
      <c r="CF10" s="437"/>
      <c r="CG10" s="437"/>
      <c r="CH10" s="437"/>
      <c r="CI10" s="437"/>
      <c r="CJ10" s="437"/>
      <c r="CK10" s="437"/>
      <c r="CL10" s="437"/>
      <c r="CM10" s="437"/>
      <c r="CN10" s="437"/>
      <c r="CO10" s="437"/>
      <c r="CP10" s="437"/>
      <c r="CQ10" s="437"/>
      <c r="CR10" s="437"/>
      <c r="CS10" s="437"/>
      <c r="CT10" s="437"/>
      <c r="CU10" s="437"/>
      <c r="CV10" s="437"/>
      <c r="CW10" s="437"/>
      <c r="CX10" s="437"/>
      <c r="CY10" s="437"/>
      <c r="CZ10" s="437"/>
      <c r="DA10" s="437"/>
      <c r="DB10" s="437"/>
      <c r="DC10" s="437"/>
      <c r="DD10" s="437"/>
      <c r="DE10" s="437"/>
      <c r="DF10" s="437"/>
      <c r="DG10" s="437"/>
      <c r="DH10" s="437"/>
      <c r="DI10" s="437"/>
      <c r="DJ10" s="437"/>
      <c r="DK10" s="437"/>
      <c r="DL10" s="437"/>
      <c r="DM10" s="437"/>
      <c r="DN10" s="437"/>
      <c r="DO10" s="437"/>
      <c r="DP10" s="437"/>
      <c r="DQ10" s="437"/>
      <c r="DR10" s="437"/>
      <c r="DS10" s="437"/>
      <c r="DT10" s="437"/>
      <c r="DU10" s="437"/>
      <c r="DV10" s="437"/>
      <c r="DW10" s="437"/>
      <c r="DX10" s="437"/>
      <c r="DY10" s="437"/>
      <c r="DZ10" s="437"/>
      <c r="EA10" s="437"/>
      <c r="EB10" s="437"/>
      <c r="EC10" s="437"/>
      <c r="ED10" s="437"/>
      <c r="EE10" s="437"/>
      <c r="EF10" s="437"/>
      <c r="EG10" s="437"/>
      <c r="EH10" s="437"/>
      <c r="EI10" s="437"/>
      <c r="EJ10" s="437"/>
      <c r="EK10" s="437"/>
      <c r="EL10" s="437"/>
      <c r="EM10" s="437"/>
      <c r="EN10" s="437"/>
      <c r="EO10" s="437"/>
      <c r="EP10" s="437"/>
      <c r="EQ10" s="437"/>
      <c r="ER10" s="437"/>
      <c r="ES10" s="437"/>
      <c r="ET10" s="437"/>
      <c r="EU10" s="437"/>
      <c r="EV10" s="437"/>
      <c r="EW10" s="437"/>
      <c r="EX10" s="437"/>
      <c r="EY10" s="437"/>
      <c r="EZ10" s="437"/>
      <c r="FA10" s="437"/>
      <c r="FB10" s="437"/>
      <c r="FC10" s="437"/>
      <c r="FD10" s="437"/>
      <c r="FE10" s="437"/>
      <c r="FF10" s="437"/>
      <c r="FG10" s="437"/>
      <c r="FH10" s="437"/>
      <c r="FI10" s="437"/>
      <c r="FJ10" s="437"/>
      <c r="FK10" s="437"/>
      <c r="FL10" s="437"/>
      <c r="FM10" s="437"/>
      <c r="FN10" s="437"/>
      <c r="FO10" s="437"/>
      <c r="FP10" s="437"/>
      <c r="FQ10" s="437"/>
      <c r="FR10" s="437"/>
      <c r="FS10" s="437"/>
      <c r="FT10" s="437"/>
      <c r="FU10" s="437"/>
      <c r="FV10" s="437"/>
      <c r="FW10" s="437"/>
      <c r="FX10" s="437"/>
      <c r="FY10" s="437"/>
      <c r="FZ10" s="437"/>
      <c r="GA10" s="437"/>
      <c r="GB10" s="437"/>
      <c r="GC10" s="437"/>
      <c r="GD10" s="437"/>
      <c r="GE10" s="437"/>
      <c r="GF10" s="437"/>
      <c r="GG10" s="437"/>
      <c r="GH10" s="437"/>
      <c r="GI10" s="437"/>
      <c r="GJ10" s="437"/>
      <c r="GK10" s="437"/>
      <c r="GL10" s="437"/>
      <c r="GM10" s="437"/>
      <c r="GN10" s="437"/>
      <c r="GO10" s="437"/>
      <c r="GP10" s="437"/>
      <c r="GQ10" s="437"/>
      <c r="GR10" s="437"/>
      <c r="GS10" s="437"/>
      <c r="GT10" s="437"/>
      <c r="GU10" s="437"/>
      <c r="GV10" s="437"/>
      <c r="GW10" s="437"/>
      <c r="GX10" s="437"/>
      <c r="GY10" s="437"/>
      <c r="GZ10" s="437"/>
      <c r="HA10" s="437"/>
      <c r="HB10" s="437"/>
      <c r="HC10" s="437"/>
      <c r="HD10" s="437"/>
      <c r="HE10" s="437"/>
      <c r="HF10" s="437"/>
      <c r="HG10" s="437"/>
      <c r="HH10" s="437"/>
      <c r="HI10" s="437"/>
      <c r="HJ10" s="437"/>
      <c r="HK10" s="437"/>
      <c r="HL10" s="437"/>
      <c r="HM10" s="437"/>
      <c r="HN10" s="437"/>
      <c r="HO10" s="437"/>
      <c r="HP10" s="437"/>
      <c r="HQ10" s="437"/>
      <c r="HR10" s="437"/>
      <c r="HS10" s="437"/>
      <c r="HT10" s="437"/>
      <c r="HU10" s="437"/>
      <c r="HV10" s="437"/>
      <c r="HW10" s="437"/>
      <c r="HX10" s="437"/>
      <c r="HY10" s="437"/>
      <c r="HZ10" s="437"/>
      <c r="IA10" s="437"/>
      <c r="IB10" s="437"/>
      <c r="IC10" s="437"/>
      <c r="ID10" s="437"/>
      <c r="IE10" s="437"/>
      <c r="IF10" s="437"/>
      <c r="IG10" s="437"/>
      <c r="IH10" s="437"/>
      <c r="II10" s="437"/>
      <c r="IJ10" s="437"/>
      <c r="IK10" s="437"/>
      <c r="IL10" s="437"/>
      <c r="IM10"/>
      <c r="IN10"/>
      <c r="IO10"/>
      <c r="IP10"/>
      <c r="IQ10"/>
      <c r="IR10"/>
      <c r="IS10"/>
      <c r="IT10"/>
    </row>
    <row r="11" spans="1:254" s="170" customFormat="1" ht="14.1" customHeight="1" x14ac:dyDescent="0.15">
      <c r="A11" s="171"/>
      <c r="B11" s="167" t="s">
        <v>721</v>
      </c>
      <c r="C11" s="440"/>
      <c r="D11" s="440"/>
      <c r="E11" s="440"/>
      <c r="F11" s="440"/>
      <c r="G11" s="440"/>
      <c r="H11" s="440"/>
      <c r="I11" s="169"/>
      <c r="J11" s="169"/>
      <c r="K11" s="169"/>
      <c r="L11" s="169"/>
      <c r="M11" s="441"/>
      <c r="N11" s="441"/>
      <c r="O11" s="441"/>
      <c r="P11" s="437"/>
      <c r="Q11" s="437"/>
      <c r="R11" s="437"/>
      <c r="S11" s="437"/>
      <c r="T11" s="437"/>
      <c r="U11" s="437"/>
      <c r="V11" s="437"/>
      <c r="W11" s="437"/>
      <c r="X11" s="437"/>
      <c r="Y11" s="437"/>
      <c r="Z11" s="437"/>
      <c r="AA11" s="437"/>
      <c r="AB11" s="437"/>
      <c r="AC11" s="437"/>
      <c r="AD11" s="437"/>
      <c r="AE11" s="437"/>
      <c r="AF11" s="437"/>
      <c r="AG11" s="437"/>
      <c r="AH11" s="437"/>
      <c r="AI11" s="437"/>
      <c r="AJ11" s="437"/>
      <c r="AK11" s="437"/>
      <c r="AL11" s="437"/>
      <c r="AM11" s="437"/>
      <c r="AN11" s="437"/>
      <c r="AO11" s="437"/>
      <c r="AP11" s="437"/>
      <c r="AQ11" s="437"/>
      <c r="AR11" s="437"/>
      <c r="AS11" s="437"/>
      <c r="AT11" s="437"/>
      <c r="AU11" s="437"/>
      <c r="AV11" s="437"/>
      <c r="AW11" s="437"/>
      <c r="AX11" s="437"/>
      <c r="AY11" s="437"/>
      <c r="AZ11" s="437"/>
      <c r="BA11" s="437"/>
      <c r="BB11" s="437"/>
      <c r="BC11" s="437"/>
      <c r="BD11" s="437"/>
      <c r="BE11" s="437"/>
      <c r="BF11" s="437"/>
      <c r="BG11" s="437"/>
      <c r="BH11" s="437"/>
      <c r="BI11" s="437"/>
      <c r="BJ11" s="437"/>
      <c r="BK11" s="437"/>
      <c r="BL11" s="437"/>
      <c r="BM11" s="437"/>
      <c r="BN11" s="437"/>
      <c r="BO11" s="437"/>
      <c r="BP11" s="437"/>
      <c r="BQ11" s="437"/>
      <c r="BR11" s="437"/>
      <c r="BS11" s="437"/>
      <c r="BT11" s="437"/>
      <c r="BU11" s="437"/>
      <c r="BV11" s="437"/>
      <c r="BW11" s="437"/>
      <c r="BX11" s="437"/>
      <c r="BY11" s="437"/>
      <c r="BZ11" s="437"/>
      <c r="CA11" s="437"/>
      <c r="CB11" s="437"/>
      <c r="CC11" s="437"/>
      <c r="CD11" s="437"/>
      <c r="CE11" s="437"/>
      <c r="CF11" s="437"/>
      <c r="CG11" s="437"/>
      <c r="CH11" s="437"/>
      <c r="CI11" s="437"/>
      <c r="CJ11" s="437"/>
      <c r="CK11" s="437"/>
      <c r="CL11" s="437"/>
      <c r="CM11" s="437"/>
      <c r="CN11" s="437"/>
      <c r="CO11" s="437"/>
      <c r="CP11" s="437"/>
      <c r="CQ11" s="437"/>
      <c r="CR11" s="437"/>
      <c r="CS11" s="437"/>
      <c r="CT11" s="437"/>
      <c r="CU11" s="437"/>
      <c r="CV11" s="437"/>
      <c r="CW11" s="437"/>
      <c r="CX11" s="437"/>
      <c r="CY11" s="437"/>
      <c r="CZ11" s="437"/>
      <c r="DA11" s="437"/>
      <c r="DB11" s="437"/>
      <c r="DC11" s="437"/>
      <c r="DD11" s="437"/>
      <c r="DE11" s="437"/>
      <c r="DF11" s="437"/>
      <c r="DG11" s="437"/>
      <c r="DH11" s="437"/>
      <c r="DI11" s="437"/>
      <c r="DJ11" s="437"/>
      <c r="DK11" s="437"/>
      <c r="DL11" s="437"/>
      <c r="DM11" s="437"/>
      <c r="DN11" s="437"/>
      <c r="DO11" s="437"/>
      <c r="DP11" s="437"/>
      <c r="DQ11" s="437"/>
      <c r="DR11" s="437"/>
      <c r="DS11" s="437"/>
      <c r="DT11" s="437"/>
      <c r="DU11" s="437"/>
      <c r="DV11" s="437"/>
      <c r="DW11" s="437"/>
      <c r="DX11" s="437"/>
      <c r="DY11" s="437"/>
      <c r="DZ11" s="437"/>
      <c r="EA11" s="437"/>
      <c r="EB11" s="437"/>
      <c r="EC11" s="437"/>
      <c r="ED11" s="437"/>
      <c r="EE11" s="437"/>
      <c r="EF11" s="437"/>
      <c r="EG11" s="437"/>
      <c r="EH11" s="437"/>
      <c r="EI11" s="437"/>
      <c r="EJ11" s="437"/>
      <c r="EK11" s="437"/>
      <c r="EL11" s="437"/>
      <c r="EM11" s="437"/>
      <c r="EN11" s="437"/>
      <c r="EO11" s="437"/>
      <c r="EP11" s="437"/>
      <c r="EQ11" s="437"/>
      <c r="ER11" s="437"/>
      <c r="ES11" s="437"/>
      <c r="ET11" s="437"/>
      <c r="EU11" s="437"/>
      <c r="EV11" s="437"/>
      <c r="EW11" s="437"/>
      <c r="EX11" s="437"/>
      <c r="EY11" s="437"/>
      <c r="EZ11" s="437"/>
      <c r="FA11" s="437"/>
      <c r="FB11" s="437"/>
      <c r="FC11" s="437"/>
      <c r="FD11" s="437"/>
      <c r="FE11" s="437"/>
      <c r="FF11" s="437"/>
      <c r="FG11" s="437"/>
      <c r="FH11" s="437"/>
      <c r="FI11" s="437"/>
      <c r="FJ11" s="437"/>
      <c r="FK11" s="437"/>
      <c r="FL11" s="437"/>
      <c r="FM11" s="437"/>
      <c r="FN11" s="437"/>
      <c r="FO11" s="437"/>
      <c r="FP11" s="437"/>
      <c r="FQ11" s="437"/>
      <c r="FR11" s="437"/>
      <c r="FS11" s="437"/>
      <c r="FT11" s="437"/>
      <c r="FU11" s="437"/>
      <c r="FV11" s="437"/>
      <c r="FW11" s="437"/>
      <c r="FX11" s="437"/>
      <c r="FY11" s="437"/>
      <c r="FZ11" s="437"/>
      <c r="GA11" s="437"/>
      <c r="GB11" s="437"/>
      <c r="GC11" s="437"/>
      <c r="GD11" s="437"/>
      <c r="GE11" s="437"/>
      <c r="GF11" s="437"/>
      <c r="GG11" s="437"/>
      <c r="GH11" s="437"/>
      <c r="GI11" s="437"/>
      <c r="GJ11" s="437"/>
      <c r="GK11" s="437"/>
      <c r="GL11" s="437"/>
      <c r="GM11" s="437"/>
      <c r="GN11" s="437"/>
      <c r="GO11" s="437"/>
      <c r="GP11" s="437"/>
      <c r="GQ11" s="437"/>
      <c r="GR11" s="437"/>
      <c r="GS11" s="437"/>
      <c r="GT11" s="437"/>
      <c r="GU11" s="437"/>
      <c r="GV11" s="437"/>
      <c r="GW11" s="437"/>
      <c r="GX11" s="437"/>
      <c r="GY11" s="437"/>
      <c r="GZ11" s="437"/>
      <c r="HA11" s="437"/>
      <c r="HB11" s="437"/>
      <c r="HC11" s="437"/>
      <c r="HD11" s="437"/>
      <c r="HE11" s="437"/>
      <c r="HF11" s="437"/>
      <c r="HG11" s="437"/>
      <c r="HH11" s="437"/>
      <c r="HI11" s="437"/>
      <c r="HJ11" s="437"/>
      <c r="HK11" s="437"/>
      <c r="HL11" s="437"/>
      <c r="HM11" s="437"/>
      <c r="HN11" s="437"/>
      <c r="HO11" s="437"/>
      <c r="HP11" s="437"/>
      <c r="HQ11" s="437"/>
      <c r="HR11" s="437"/>
      <c r="HS11" s="437"/>
      <c r="HT11" s="437"/>
      <c r="HU11" s="437"/>
      <c r="HV11" s="437"/>
      <c r="HW11" s="437"/>
      <c r="HX11" s="437"/>
      <c r="HY11" s="437"/>
      <c r="HZ11" s="437"/>
      <c r="IA11" s="437"/>
      <c r="IB11" s="437"/>
      <c r="IC11" s="437"/>
      <c r="ID11" s="437"/>
      <c r="IE11" s="437"/>
      <c r="IF11" s="437"/>
      <c r="IG11" s="437"/>
      <c r="IH11" s="437"/>
      <c r="II11" s="437"/>
      <c r="IJ11" s="437"/>
      <c r="IK11" s="437"/>
      <c r="IL11" s="437"/>
      <c r="IM11"/>
      <c r="IN11"/>
      <c r="IO11"/>
      <c r="IP11"/>
      <c r="IQ11"/>
      <c r="IR11"/>
      <c r="IS11"/>
      <c r="IT11"/>
    </row>
    <row r="12" spans="1:254" s="170" customFormat="1" ht="14.1" customHeight="1" x14ac:dyDescent="0.15">
      <c r="A12"/>
      <c r="B12"/>
      <c r="C12" s="440"/>
      <c r="D12" s="440"/>
      <c r="E12" s="440"/>
      <c r="F12" s="440"/>
      <c r="G12" s="440"/>
      <c r="H12" s="440"/>
      <c r="I12" s="169"/>
      <c r="J12"/>
      <c r="K12"/>
      <c r="L12"/>
      <c r="M12" s="441"/>
      <c r="N12" s="441"/>
      <c r="O12" s="441"/>
      <c r="P12" s="437"/>
      <c r="Q12" s="437"/>
      <c r="R12" s="437"/>
      <c r="S12" s="437"/>
      <c r="T12" s="437"/>
      <c r="U12" s="437"/>
      <c r="V12" s="437"/>
      <c r="W12" s="437"/>
      <c r="X12" s="437"/>
      <c r="Y12" s="437"/>
      <c r="Z12" s="437"/>
      <c r="AA12" s="437"/>
      <c r="AB12" s="437"/>
      <c r="AC12" s="437"/>
      <c r="AD12" s="437"/>
      <c r="AE12" s="437"/>
      <c r="AF12" s="437"/>
      <c r="AG12" s="437"/>
      <c r="AH12" s="437"/>
      <c r="AI12" s="437"/>
      <c r="AJ12" s="437"/>
      <c r="AK12" s="437"/>
      <c r="AL12" s="437"/>
      <c r="AM12" s="437"/>
      <c r="AN12" s="437"/>
      <c r="AO12" s="437"/>
      <c r="AP12" s="437"/>
      <c r="AQ12" s="437"/>
      <c r="AR12" s="437"/>
      <c r="AS12" s="437"/>
      <c r="AT12" s="437"/>
      <c r="AU12" s="437"/>
      <c r="AV12" s="437"/>
      <c r="AW12" s="437"/>
      <c r="AX12" s="437"/>
      <c r="AY12" s="437"/>
      <c r="AZ12" s="437"/>
      <c r="BA12" s="437"/>
      <c r="BB12" s="437"/>
      <c r="BC12" s="437"/>
      <c r="BD12" s="437"/>
      <c r="BE12" s="437"/>
      <c r="BF12" s="437"/>
      <c r="BG12" s="437"/>
      <c r="BH12" s="437"/>
      <c r="BI12" s="437"/>
      <c r="BJ12" s="437"/>
      <c r="BK12" s="437"/>
      <c r="BL12" s="437"/>
      <c r="BM12" s="437"/>
      <c r="BN12" s="437"/>
      <c r="BO12" s="437"/>
      <c r="BP12" s="437"/>
      <c r="BQ12" s="437"/>
      <c r="BR12" s="437"/>
      <c r="BS12" s="437"/>
      <c r="BT12" s="437"/>
      <c r="BU12" s="437"/>
      <c r="BV12" s="437"/>
      <c r="BW12" s="437"/>
      <c r="BX12" s="437"/>
      <c r="BY12" s="437"/>
      <c r="BZ12" s="437"/>
      <c r="CA12" s="437"/>
      <c r="CB12" s="437"/>
      <c r="CC12" s="437"/>
      <c r="CD12" s="437"/>
      <c r="CE12" s="437"/>
      <c r="CF12" s="437"/>
      <c r="CG12" s="437"/>
      <c r="CH12" s="437"/>
      <c r="CI12" s="437"/>
      <c r="CJ12" s="437"/>
      <c r="CK12" s="437"/>
      <c r="CL12" s="437"/>
      <c r="CM12" s="437"/>
      <c r="CN12" s="437"/>
      <c r="CO12" s="437"/>
      <c r="CP12" s="437"/>
      <c r="CQ12" s="437"/>
      <c r="CR12" s="437"/>
      <c r="CS12" s="437"/>
      <c r="CT12" s="437"/>
      <c r="CU12" s="437"/>
      <c r="CV12" s="437"/>
      <c r="CW12" s="437"/>
      <c r="CX12" s="437"/>
      <c r="CY12" s="437"/>
      <c r="CZ12" s="437"/>
      <c r="DA12" s="437"/>
      <c r="DB12" s="437"/>
      <c r="DC12" s="437"/>
      <c r="DD12" s="437"/>
      <c r="DE12" s="437"/>
      <c r="DF12" s="437"/>
      <c r="DG12" s="437"/>
      <c r="DH12" s="437"/>
      <c r="DI12" s="437"/>
      <c r="DJ12" s="437"/>
      <c r="DK12" s="437"/>
      <c r="DL12" s="437"/>
      <c r="DM12" s="437"/>
      <c r="DN12" s="437"/>
      <c r="DO12" s="437"/>
      <c r="DP12" s="437"/>
      <c r="DQ12" s="437"/>
      <c r="DR12" s="437"/>
      <c r="DS12" s="437"/>
      <c r="DT12" s="437"/>
      <c r="DU12" s="437"/>
      <c r="DV12" s="437"/>
      <c r="DW12" s="437"/>
      <c r="DX12" s="437"/>
      <c r="DY12" s="437"/>
      <c r="DZ12" s="437"/>
      <c r="EA12" s="437"/>
      <c r="EB12" s="437"/>
      <c r="EC12" s="437"/>
      <c r="ED12" s="437"/>
      <c r="EE12" s="437"/>
      <c r="EF12" s="437"/>
      <c r="EG12" s="437"/>
      <c r="EH12" s="437"/>
      <c r="EI12" s="437"/>
      <c r="EJ12" s="437"/>
      <c r="EK12" s="437"/>
      <c r="EL12" s="437"/>
      <c r="EM12" s="437"/>
      <c r="EN12" s="437"/>
      <c r="EO12" s="437"/>
      <c r="EP12" s="437"/>
      <c r="EQ12" s="437"/>
      <c r="ER12" s="437"/>
      <c r="ES12" s="437"/>
      <c r="ET12" s="437"/>
      <c r="EU12" s="437"/>
      <c r="EV12" s="437"/>
      <c r="EW12" s="437"/>
      <c r="EX12" s="437"/>
      <c r="EY12" s="437"/>
      <c r="EZ12" s="437"/>
      <c r="FA12" s="437"/>
      <c r="FB12" s="437"/>
      <c r="FC12" s="437"/>
      <c r="FD12" s="437"/>
      <c r="FE12" s="437"/>
      <c r="FF12" s="437"/>
      <c r="FG12" s="437"/>
      <c r="FH12" s="437"/>
      <c r="FI12" s="437"/>
      <c r="FJ12" s="437"/>
      <c r="FK12" s="437"/>
      <c r="FL12" s="437"/>
      <c r="FM12" s="437"/>
      <c r="FN12" s="437"/>
      <c r="FO12" s="437"/>
      <c r="FP12" s="437"/>
      <c r="FQ12" s="437"/>
      <c r="FR12" s="437"/>
      <c r="FS12" s="437"/>
      <c r="FT12" s="437"/>
      <c r="FU12" s="437"/>
      <c r="FV12" s="437"/>
      <c r="FW12" s="437"/>
      <c r="FX12" s="437"/>
      <c r="FY12" s="437"/>
      <c r="FZ12" s="437"/>
      <c r="GA12" s="437"/>
      <c r="GB12" s="437"/>
      <c r="GC12" s="437"/>
      <c r="GD12" s="437"/>
      <c r="GE12" s="437"/>
      <c r="GF12" s="437"/>
      <c r="GG12" s="437"/>
      <c r="GH12" s="437"/>
      <c r="GI12" s="437"/>
      <c r="GJ12" s="437"/>
      <c r="GK12" s="437"/>
      <c r="GL12" s="437"/>
      <c r="GM12" s="437"/>
      <c r="GN12" s="437"/>
      <c r="GO12" s="437"/>
      <c r="GP12" s="437"/>
      <c r="GQ12" s="437"/>
      <c r="GR12" s="437"/>
      <c r="GS12" s="437"/>
      <c r="GT12" s="437"/>
      <c r="GU12" s="437"/>
      <c r="GV12" s="437"/>
      <c r="GW12" s="437"/>
      <c r="GX12" s="437"/>
      <c r="GY12" s="437"/>
      <c r="GZ12" s="437"/>
      <c r="HA12" s="437"/>
      <c r="HB12" s="437"/>
      <c r="HC12" s="437"/>
      <c r="HD12" s="437"/>
      <c r="HE12" s="437"/>
      <c r="HF12" s="437"/>
      <c r="HG12" s="437"/>
      <c r="HH12" s="437"/>
      <c r="HI12" s="437"/>
      <c r="HJ12" s="437"/>
      <c r="HK12" s="437"/>
      <c r="HL12" s="437"/>
      <c r="HM12" s="437"/>
      <c r="HN12" s="437"/>
      <c r="HO12" s="437"/>
      <c r="HP12" s="437"/>
      <c r="HQ12" s="437"/>
      <c r="HR12" s="437"/>
      <c r="HS12" s="437"/>
      <c r="HT12" s="437"/>
      <c r="HU12" s="437"/>
      <c r="HV12" s="437"/>
      <c r="HW12" s="437"/>
      <c r="HX12" s="437"/>
      <c r="HY12" s="437"/>
      <c r="HZ12" s="437"/>
      <c r="IA12" s="437"/>
      <c r="IB12" s="437"/>
      <c r="IC12" s="437"/>
      <c r="ID12" s="437"/>
      <c r="IE12" s="437"/>
      <c r="IF12" s="437"/>
      <c r="IG12" s="437"/>
      <c r="IH12" s="437"/>
      <c r="II12" s="437"/>
      <c r="IJ12" s="437"/>
      <c r="IK12" s="437"/>
      <c r="IL12" s="437"/>
      <c r="IM12"/>
      <c r="IN12"/>
      <c r="IO12"/>
      <c r="IP12"/>
      <c r="IQ12"/>
      <c r="IR12"/>
      <c r="IS12"/>
      <c r="IT12"/>
    </row>
    <row r="13" spans="1:254" s="170" customFormat="1" ht="14.1" customHeight="1" x14ac:dyDescent="0.15">
      <c r="A13" s="172"/>
      <c r="B13" s="173" t="s">
        <v>927</v>
      </c>
      <c r="C13" s="440"/>
      <c r="D13" s="440"/>
      <c r="E13" s="440"/>
      <c r="F13" s="440"/>
      <c r="G13" s="440"/>
      <c r="H13" s="440"/>
      <c r="I13" s="169"/>
      <c r="J13"/>
      <c r="K13"/>
      <c r="L13"/>
      <c r="M13" s="441"/>
      <c r="N13" s="441"/>
      <c r="O13" s="441"/>
      <c r="P13" s="437"/>
      <c r="Q13" s="437"/>
      <c r="R13" s="437"/>
      <c r="S13" s="437"/>
      <c r="T13" s="437"/>
      <c r="U13" s="437"/>
      <c r="V13" s="437"/>
      <c r="W13" s="437"/>
      <c r="X13" s="437"/>
      <c r="Y13" s="437"/>
      <c r="Z13" s="437"/>
      <c r="AA13" s="437"/>
      <c r="AB13" s="437"/>
      <c r="AC13" s="437"/>
      <c r="AD13" s="437"/>
      <c r="AE13" s="437"/>
      <c r="AF13" s="437"/>
      <c r="AG13" s="437"/>
      <c r="AH13" s="437"/>
      <c r="AI13" s="437"/>
      <c r="AJ13" s="437"/>
      <c r="AK13" s="437"/>
      <c r="AL13" s="437"/>
      <c r="AM13" s="437"/>
      <c r="AN13" s="437"/>
      <c r="AO13" s="437"/>
      <c r="AP13" s="437"/>
      <c r="AQ13" s="437"/>
      <c r="AR13" s="437"/>
      <c r="AS13" s="437"/>
      <c r="AT13" s="437"/>
      <c r="AU13" s="437"/>
      <c r="AV13" s="437"/>
      <c r="AW13" s="437"/>
      <c r="AX13" s="437"/>
      <c r="AY13" s="437"/>
      <c r="AZ13" s="437"/>
      <c r="BA13" s="437"/>
      <c r="BB13" s="437"/>
      <c r="BC13" s="437"/>
      <c r="BD13" s="437"/>
      <c r="BE13" s="437"/>
      <c r="BF13" s="437"/>
      <c r="BG13" s="437"/>
      <c r="BH13" s="437"/>
      <c r="BI13" s="437"/>
      <c r="BJ13" s="437"/>
      <c r="BK13" s="437"/>
      <c r="BL13" s="437"/>
      <c r="BM13" s="437"/>
      <c r="BN13" s="437"/>
      <c r="BO13" s="437"/>
      <c r="BP13" s="437"/>
      <c r="BQ13" s="437"/>
      <c r="BR13" s="437"/>
      <c r="BS13" s="437"/>
      <c r="BT13" s="437"/>
      <c r="BU13" s="437"/>
      <c r="BV13" s="437"/>
      <c r="BW13" s="437"/>
      <c r="BX13" s="437"/>
      <c r="BY13" s="437"/>
      <c r="BZ13" s="437"/>
      <c r="CA13" s="437"/>
      <c r="CB13" s="437"/>
      <c r="CC13" s="437"/>
      <c r="CD13" s="437"/>
      <c r="CE13" s="437"/>
      <c r="CF13" s="437"/>
      <c r="CG13" s="437"/>
      <c r="CH13" s="437"/>
      <c r="CI13" s="437"/>
      <c r="CJ13" s="437"/>
      <c r="CK13" s="437"/>
      <c r="CL13" s="437"/>
      <c r="CM13" s="437"/>
      <c r="CN13" s="437"/>
      <c r="CO13" s="437"/>
      <c r="CP13" s="437"/>
      <c r="CQ13" s="437"/>
      <c r="CR13" s="437"/>
      <c r="CS13" s="437"/>
      <c r="CT13" s="437"/>
      <c r="CU13" s="437"/>
      <c r="CV13" s="437"/>
      <c r="CW13" s="437"/>
      <c r="CX13" s="437"/>
      <c r="CY13" s="437"/>
      <c r="CZ13" s="437"/>
      <c r="DA13" s="437"/>
      <c r="DB13" s="437"/>
      <c r="DC13" s="437"/>
      <c r="DD13" s="437"/>
      <c r="DE13" s="437"/>
      <c r="DF13" s="437"/>
      <c r="DG13" s="437"/>
      <c r="DH13" s="437"/>
      <c r="DI13" s="437"/>
      <c r="DJ13" s="437"/>
      <c r="DK13" s="437"/>
      <c r="DL13" s="437"/>
      <c r="DM13" s="437"/>
      <c r="DN13" s="437"/>
      <c r="DO13" s="437"/>
      <c r="DP13" s="437"/>
      <c r="DQ13" s="437"/>
      <c r="DR13" s="437"/>
      <c r="DS13" s="437"/>
      <c r="DT13" s="437"/>
      <c r="DU13" s="437"/>
      <c r="DV13" s="437"/>
      <c r="DW13" s="437"/>
      <c r="DX13" s="437"/>
      <c r="DY13" s="437"/>
      <c r="DZ13" s="437"/>
      <c r="EA13" s="437"/>
      <c r="EB13" s="437"/>
      <c r="EC13" s="437"/>
      <c r="ED13" s="437"/>
      <c r="EE13" s="437"/>
      <c r="EF13" s="437"/>
      <c r="EG13" s="437"/>
      <c r="EH13" s="437"/>
      <c r="EI13" s="437"/>
      <c r="EJ13" s="437"/>
      <c r="EK13" s="437"/>
      <c r="EL13" s="437"/>
      <c r="EM13" s="437"/>
      <c r="EN13" s="437"/>
      <c r="EO13" s="437"/>
      <c r="EP13" s="437"/>
      <c r="EQ13" s="437"/>
      <c r="ER13" s="437"/>
      <c r="ES13" s="437"/>
      <c r="ET13" s="437"/>
      <c r="EU13" s="437"/>
      <c r="EV13" s="437"/>
      <c r="EW13" s="437"/>
      <c r="EX13" s="437"/>
      <c r="EY13" s="437"/>
      <c r="EZ13" s="437"/>
      <c r="FA13" s="437"/>
      <c r="FB13" s="437"/>
      <c r="FC13" s="437"/>
      <c r="FD13" s="437"/>
      <c r="FE13" s="437"/>
      <c r="FF13" s="437"/>
      <c r="FG13" s="437"/>
      <c r="FH13" s="437"/>
      <c r="FI13" s="437"/>
      <c r="FJ13" s="437"/>
      <c r="FK13" s="437"/>
      <c r="FL13" s="437"/>
      <c r="FM13" s="437"/>
      <c r="FN13" s="437"/>
      <c r="FO13" s="437"/>
      <c r="FP13" s="437"/>
      <c r="FQ13" s="437"/>
      <c r="FR13" s="437"/>
      <c r="FS13" s="437"/>
      <c r="FT13" s="437"/>
      <c r="FU13" s="437"/>
      <c r="FV13" s="437"/>
      <c r="FW13" s="437"/>
      <c r="FX13" s="437"/>
      <c r="FY13" s="437"/>
      <c r="FZ13" s="437"/>
      <c r="GA13" s="437"/>
      <c r="GB13" s="437"/>
      <c r="GC13" s="437"/>
      <c r="GD13" s="437"/>
      <c r="GE13" s="437"/>
      <c r="GF13" s="437"/>
      <c r="GG13" s="437"/>
      <c r="GH13" s="437"/>
      <c r="GI13" s="437"/>
      <c r="GJ13" s="437"/>
      <c r="GK13" s="437"/>
      <c r="GL13" s="437"/>
      <c r="GM13" s="437"/>
      <c r="GN13" s="437"/>
      <c r="GO13" s="437"/>
      <c r="GP13" s="437"/>
      <c r="GQ13" s="437"/>
      <c r="GR13" s="437"/>
      <c r="GS13" s="437"/>
      <c r="GT13" s="437"/>
      <c r="GU13" s="437"/>
      <c r="GV13" s="437"/>
      <c r="GW13" s="437"/>
      <c r="GX13" s="437"/>
      <c r="GY13" s="437"/>
      <c r="GZ13" s="437"/>
      <c r="HA13" s="437"/>
      <c r="HB13" s="437"/>
      <c r="HC13" s="437"/>
      <c r="HD13" s="437"/>
      <c r="HE13" s="437"/>
      <c r="HF13" s="437"/>
      <c r="HG13" s="437"/>
      <c r="HH13" s="437"/>
      <c r="HI13" s="437"/>
      <c r="HJ13" s="437"/>
      <c r="HK13" s="437"/>
      <c r="HL13" s="437"/>
      <c r="HM13" s="437"/>
      <c r="HN13" s="437"/>
      <c r="HO13" s="437"/>
      <c r="HP13" s="437"/>
      <c r="HQ13" s="437"/>
      <c r="HR13" s="437"/>
      <c r="HS13" s="437"/>
      <c r="HT13" s="437"/>
      <c r="HU13" s="437"/>
      <c r="HV13" s="437"/>
      <c r="HW13" s="437"/>
      <c r="HX13" s="437"/>
      <c r="HY13" s="437"/>
      <c r="HZ13" s="437"/>
      <c r="IA13" s="437"/>
      <c r="IB13" s="437"/>
      <c r="IC13" s="437"/>
      <c r="ID13" s="437"/>
      <c r="IE13" s="437"/>
      <c r="IF13" s="437"/>
      <c r="IG13" s="437"/>
      <c r="IH13" s="437"/>
      <c r="II13" s="437"/>
      <c r="IJ13" s="437"/>
      <c r="IK13" s="437"/>
      <c r="IL13" s="437"/>
      <c r="IM13"/>
      <c r="IN13"/>
      <c r="IO13"/>
      <c r="IP13"/>
      <c r="IQ13"/>
      <c r="IR13"/>
      <c r="IS13"/>
      <c r="IT13"/>
    </row>
    <row r="14" spans="1:254" s="170" customFormat="1" ht="14.1" customHeight="1" x14ac:dyDescent="0.15">
      <c r="A14" s="24"/>
      <c r="B14" s="173" t="s">
        <v>928</v>
      </c>
      <c r="C14" s="440"/>
      <c r="D14" s="440"/>
      <c r="E14" s="440"/>
      <c r="F14" s="440"/>
      <c r="G14" s="440"/>
      <c r="H14" s="440"/>
      <c r="I14" s="169"/>
      <c r="J14"/>
      <c r="K14" s="169"/>
      <c r="L14" s="169"/>
      <c r="M14" s="441"/>
      <c r="N14" s="441"/>
      <c r="O14" s="441"/>
      <c r="P14" s="437"/>
      <c r="Q14" s="437"/>
      <c r="R14" s="437"/>
      <c r="S14" s="437"/>
      <c r="T14" s="437"/>
      <c r="U14" s="437"/>
      <c r="V14" s="437"/>
      <c r="W14" s="437"/>
      <c r="X14" s="437"/>
      <c r="Y14" s="437"/>
      <c r="Z14" s="437"/>
      <c r="AA14" s="437"/>
      <c r="AB14" s="437"/>
      <c r="AC14" s="437"/>
      <c r="AD14" s="437"/>
      <c r="AE14" s="437"/>
      <c r="AF14" s="437"/>
      <c r="AG14" s="437"/>
      <c r="AH14" s="437"/>
      <c r="AI14" s="437"/>
      <c r="AJ14" s="437"/>
      <c r="AK14" s="437"/>
      <c r="AL14" s="437"/>
      <c r="AM14" s="437"/>
      <c r="AN14" s="437"/>
      <c r="AO14" s="437"/>
      <c r="AP14" s="437"/>
      <c r="AQ14" s="437"/>
      <c r="AR14" s="437"/>
      <c r="AS14" s="437"/>
      <c r="AT14" s="437"/>
      <c r="AU14" s="437"/>
      <c r="AV14" s="437"/>
      <c r="AW14" s="437"/>
      <c r="AX14" s="437"/>
      <c r="AY14" s="437"/>
      <c r="AZ14" s="437"/>
      <c r="BA14" s="437"/>
      <c r="BB14" s="437"/>
      <c r="BC14" s="437"/>
      <c r="BD14" s="437"/>
      <c r="BE14" s="437"/>
      <c r="BF14" s="437"/>
      <c r="BG14" s="437"/>
      <c r="BH14" s="437"/>
      <c r="BI14" s="437"/>
      <c r="BJ14" s="437"/>
      <c r="BK14" s="437"/>
      <c r="BL14" s="437"/>
      <c r="BM14" s="437"/>
      <c r="BN14" s="437"/>
      <c r="BO14" s="437"/>
      <c r="BP14" s="437"/>
      <c r="BQ14" s="437"/>
      <c r="BR14" s="437"/>
      <c r="BS14" s="437"/>
      <c r="BT14" s="437"/>
      <c r="BU14" s="437"/>
      <c r="BV14" s="437"/>
      <c r="BW14" s="437"/>
      <c r="BX14" s="437"/>
      <c r="BY14" s="437"/>
      <c r="BZ14" s="437"/>
      <c r="CA14" s="437"/>
      <c r="CB14" s="437"/>
      <c r="CC14" s="437"/>
      <c r="CD14" s="437"/>
      <c r="CE14" s="437"/>
      <c r="CF14" s="437"/>
      <c r="CG14" s="437"/>
      <c r="CH14" s="437"/>
      <c r="CI14" s="437"/>
      <c r="CJ14" s="437"/>
      <c r="CK14" s="437"/>
      <c r="CL14" s="437"/>
      <c r="CM14" s="437"/>
      <c r="CN14" s="437"/>
      <c r="CO14" s="437"/>
      <c r="CP14" s="437"/>
      <c r="CQ14" s="437"/>
      <c r="CR14" s="437"/>
      <c r="CS14" s="437"/>
      <c r="CT14" s="437"/>
      <c r="CU14" s="437"/>
      <c r="CV14" s="437"/>
      <c r="CW14" s="437"/>
      <c r="CX14" s="437"/>
      <c r="CY14" s="437"/>
      <c r="CZ14" s="437"/>
      <c r="DA14" s="437"/>
      <c r="DB14" s="437"/>
      <c r="DC14" s="437"/>
      <c r="DD14" s="437"/>
      <c r="DE14" s="437"/>
      <c r="DF14" s="437"/>
      <c r="DG14" s="437"/>
      <c r="DH14" s="437"/>
      <c r="DI14" s="437"/>
      <c r="DJ14" s="437"/>
      <c r="DK14" s="437"/>
      <c r="DL14" s="437"/>
      <c r="DM14" s="437"/>
      <c r="DN14" s="437"/>
      <c r="DO14" s="437"/>
      <c r="DP14" s="437"/>
      <c r="DQ14" s="437"/>
      <c r="DR14" s="437"/>
      <c r="DS14" s="437"/>
      <c r="DT14" s="437"/>
      <c r="DU14" s="437"/>
      <c r="DV14" s="437"/>
      <c r="DW14" s="437"/>
      <c r="DX14" s="437"/>
      <c r="DY14" s="437"/>
      <c r="DZ14" s="437"/>
      <c r="EA14" s="437"/>
      <c r="EB14" s="437"/>
      <c r="EC14" s="437"/>
      <c r="ED14" s="437"/>
      <c r="EE14" s="437"/>
      <c r="EF14" s="437"/>
      <c r="EG14" s="437"/>
      <c r="EH14" s="437"/>
      <c r="EI14" s="437"/>
      <c r="EJ14" s="437"/>
      <c r="EK14" s="437"/>
      <c r="EL14" s="437"/>
      <c r="EM14" s="437"/>
      <c r="EN14" s="437"/>
      <c r="EO14" s="437"/>
      <c r="EP14" s="437"/>
      <c r="EQ14" s="437"/>
      <c r="ER14" s="437"/>
      <c r="ES14" s="437"/>
      <c r="ET14" s="437"/>
      <c r="EU14" s="437"/>
      <c r="EV14" s="437"/>
      <c r="EW14" s="437"/>
      <c r="EX14" s="437"/>
      <c r="EY14" s="437"/>
      <c r="EZ14" s="437"/>
      <c r="FA14" s="437"/>
      <c r="FB14" s="437"/>
      <c r="FC14" s="437"/>
      <c r="FD14" s="437"/>
      <c r="FE14" s="437"/>
      <c r="FF14" s="437"/>
      <c r="FG14" s="437"/>
      <c r="FH14" s="437"/>
      <c r="FI14" s="437"/>
      <c r="FJ14" s="437"/>
      <c r="FK14" s="437"/>
      <c r="FL14" s="437"/>
      <c r="FM14" s="437"/>
      <c r="FN14" s="437"/>
      <c r="FO14" s="437"/>
      <c r="FP14" s="437"/>
      <c r="FQ14" s="437"/>
      <c r="FR14" s="437"/>
      <c r="FS14" s="437"/>
      <c r="FT14" s="437"/>
      <c r="FU14" s="437"/>
      <c r="FV14" s="437"/>
      <c r="FW14" s="437"/>
      <c r="FX14" s="437"/>
      <c r="FY14" s="437"/>
      <c r="FZ14" s="437"/>
      <c r="GA14" s="437"/>
      <c r="GB14" s="437"/>
      <c r="GC14" s="437"/>
      <c r="GD14" s="437"/>
      <c r="GE14" s="437"/>
      <c r="GF14" s="437"/>
      <c r="GG14" s="437"/>
      <c r="GH14" s="437"/>
      <c r="GI14" s="437"/>
      <c r="GJ14" s="437"/>
      <c r="GK14" s="437"/>
      <c r="GL14" s="437"/>
      <c r="GM14" s="437"/>
      <c r="GN14" s="437"/>
      <c r="GO14" s="437"/>
      <c r="GP14" s="437"/>
      <c r="GQ14" s="437"/>
      <c r="GR14" s="437"/>
      <c r="GS14" s="437"/>
      <c r="GT14" s="437"/>
      <c r="GU14" s="437"/>
      <c r="GV14" s="437"/>
      <c r="GW14" s="437"/>
      <c r="GX14" s="437"/>
      <c r="GY14" s="437"/>
      <c r="GZ14" s="437"/>
      <c r="HA14" s="437"/>
      <c r="HB14" s="437"/>
      <c r="HC14" s="437"/>
      <c r="HD14" s="437"/>
      <c r="HE14" s="437"/>
      <c r="HF14" s="437"/>
      <c r="HG14" s="437"/>
      <c r="HH14" s="437"/>
      <c r="HI14" s="437"/>
      <c r="HJ14" s="437"/>
      <c r="HK14" s="437"/>
      <c r="HL14" s="437"/>
      <c r="HM14" s="437"/>
      <c r="HN14" s="437"/>
      <c r="HO14" s="437"/>
      <c r="HP14" s="437"/>
      <c r="HQ14" s="437"/>
      <c r="HR14" s="437"/>
      <c r="HS14" s="437"/>
      <c r="HT14" s="437"/>
      <c r="HU14" s="437"/>
      <c r="HV14" s="437"/>
      <c r="HW14" s="437"/>
      <c r="HX14" s="437"/>
      <c r="HY14" s="437"/>
      <c r="HZ14" s="437"/>
      <c r="IA14" s="437"/>
      <c r="IB14" s="437"/>
      <c r="IC14" s="437"/>
      <c r="ID14" s="437"/>
      <c r="IE14" s="437"/>
      <c r="IF14" s="437"/>
      <c r="IG14" s="437"/>
      <c r="IH14" s="437"/>
      <c r="II14" s="437"/>
      <c r="IJ14" s="437"/>
      <c r="IK14" s="437"/>
      <c r="IL14" s="437"/>
      <c r="IM14"/>
      <c r="IN14"/>
      <c r="IO14"/>
      <c r="IP14"/>
      <c r="IQ14"/>
      <c r="IR14"/>
      <c r="IS14"/>
      <c r="IT14"/>
    </row>
    <row r="15" spans="1:254" s="170" customFormat="1" ht="14.1" customHeight="1" x14ac:dyDescent="0.15">
      <c r="A15" s="22"/>
      <c r="B15" s="173" t="s">
        <v>929</v>
      </c>
      <c r="C15" s="440"/>
      <c r="D15" s="440"/>
      <c r="E15" s="440"/>
      <c r="F15" s="440"/>
      <c r="G15" s="440"/>
      <c r="H15" s="440"/>
      <c r="I15" s="169"/>
      <c r="J15"/>
      <c r="K15" s="169"/>
      <c r="L15" s="169"/>
      <c r="M15" s="441"/>
      <c r="N15" s="441"/>
      <c r="O15" s="441"/>
      <c r="P15" s="437"/>
      <c r="Q15" s="437"/>
      <c r="R15" s="437"/>
      <c r="S15" s="437"/>
      <c r="T15" s="437"/>
      <c r="U15" s="437"/>
      <c r="V15" s="437"/>
      <c r="W15" s="437"/>
      <c r="X15" s="437"/>
      <c r="Y15" s="437"/>
      <c r="Z15" s="437"/>
      <c r="AA15" s="437"/>
      <c r="AB15" s="437"/>
      <c r="AC15" s="437"/>
      <c r="AD15" s="437"/>
      <c r="AE15" s="437"/>
      <c r="AF15" s="437"/>
      <c r="AG15" s="437"/>
      <c r="AH15" s="437"/>
      <c r="AI15" s="437"/>
      <c r="AJ15" s="437"/>
      <c r="AK15" s="437"/>
      <c r="AL15" s="437"/>
      <c r="AM15" s="437"/>
      <c r="AN15" s="437"/>
      <c r="AO15" s="437"/>
      <c r="AP15" s="437"/>
      <c r="AQ15" s="437"/>
      <c r="AR15" s="437"/>
      <c r="AS15" s="437"/>
      <c r="AT15" s="437"/>
      <c r="AU15" s="437"/>
      <c r="AV15" s="437"/>
      <c r="AW15" s="437"/>
      <c r="AX15" s="437"/>
      <c r="AY15" s="437"/>
      <c r="AZ15" s="437"/>
      <c r="BA15" s="437"/>
      <c r="BB15" s="437"/>
      <c r="BC15" s="437"/>
      <c r="BD15" s="437"/>
      <c r="BE15" s="437"/>
      <c r="BF15" s="437"/>
      <c r="BG15" s="437"/>
      <c r="BH15" s="437"/>
      <c r="BI15" s="437"/>
      <c r="BJ15" s="437"/>
      <c r="BK15" s="437"/>
      <c r="BL15" s="437"/>
      <c r="BM15" s="437"/>
      <c r="BN15" s="437"/>
      <c r="BO15" s="437"/>
      <c r="BP15" s="437"/>
      <c r="BQ15" s="437"/>
      <c r="BR15" s="437"/>
      <c r="BS15" s="437"/>
      <c r="BT15" s="437"/>
      <c r="BU15" s="437"/>
      <c r="BV15" s="437"/>
      <c r="BW15" s="437"/>
      <c r="BX15" s="437"/>
      <c r="BY15" s="437"/>
      <c r="BZ15" s="437"/>
      <c r="CA15" s="437"/>
      <c r="CB15" s="437"/>
      <c r="CC15" s="437"/>
      <c r="CD15" s="437"/>
      <c r="CE15" s="437"/>
      <c r="CF15" s="437"/>
      <c r="CG15" s="437"/>
      <c r="CH15" s="437"/>
      <c r="CI15" s="437"/>
      <c r="CJ15" s="437"/>
      <c r="CK15" s="437"/>
      <c r="CL15" s="437"/>
      <c r="CM15" s="437"/>
      <c r="CN15" s="437"/>
      <c r="CO15" s="437"/>
      <c r="CP15" s="437"/>
      <c r="CQ15" s="437"/>
      <c r="CR15" s="437"/>
      <c r="CS15" s="437"/>
      <c r="CT15" s="437"/>
      <c r="CU15" s="437"/>
      <c r="CV15" s="437"/>
      <c r="CW15" s="437"/>
      <c r="CX15" s="437"/>
      <c r="CY15" s="437"/>
      <c r="CZ15" s="437"/>
      <c r="DA15" s="437"/>
      <c r="DB15" s="437"/>
      <c r="DC15" s="437"/>
      <c r="DD15" s="437"/>
      <c r="DE15" s="437"/>
      <c r="DF15" s="437"/>
      <c r="DG15" s="437"/>
      <c r="DH15" s="437"/>
      <c r="DI15" s="437"/>
      <c r="DJ15" s="437"/>
      <c r="DK15" s="437"/>
      <c r="DL15" s="437"/>
      <c r="DM15" s="437"/>
      <c r="DN15" s="437"/>
      <c r="DO15" s="437"/>
      <c r="DP15" s="437"/>
      <c r="DQ15" s="437"/>
      <c r="DR15" s="437"/>
      <c r="DS15" s="437"/>
      <c r="DT15" s="437"/>
      <c r="DU15" s="437"/>
      <c r="DV15" s="437"/>
      <c r="DW15" s="437"/>
      <c r="DX15" s="437"/>
      <c r="DY15" s="437"/>
      <c r="DZ15" s="437"/>
      <c r="EA15" s="437"/>
      <c r="EB15" s="437"/>
      <c r="EC15" s="437"/>
      <c r="ED15" s="437"/>
      <c r="EE15" s="437"/>
      <c r="EF15" s="437"/>
      <c r="EG15" s="437"/>
      <c r="EH15" s="437"/>
      <c r="EI15" s="437"/>
      <c r="EJ15" s="437"/>
      <c r="EK15" s="437"/>
      <c r="EL15" s="437"/>
      <c r="EM15" s="437"/>
      <c r="EN15" s="437"/>
      <c r="EO15" s="437"/>
      <c r="EP15" s="437"/>
      <c r="EQ15" s="437"/>
      <c r="ER15" s="437"/>
      <c r="ES15" s="437"/>
      <c r="ET15" s="437"/>
      <c r="EU15" s="437"/>
      <c r="EV15" s="437"/>
      <c r="EW15" s="437"/>
      <c r="EX15" s="437"/>
      <c r="EY15" s="437"/>
      <c r="EZ15" s="437"/>
      <c r="FA15" s="437"/>
      <c r="FB15" s="437"/>
      <c r="FC15" s="437"/>
      <c r="FD15" s="437"/>
      <c r="FE15" s="437"/>
      <c r="FF15" s="437"/>
      <c r="FG15" s="437"/>
      <c r="FH15" s="437"/>
      <c r="FI15" s="437"/>
      <c r="FJ15" s="437"/>
      <c r="FK15" s="437"/>
      <c r="FL15" s="437"/>
      <c r="FM15" s="437"/>
      <c r="FN15" s="437"/>
      <c r="FO15" s="437"/>
      <c r="FP15" s="437"/>
      <c r="FQ15" s="437"/>
      <c r="FR15" s="437"/>
      <c r="FS15" s="437"/>
      <c r="FT15" s="437"/>
      <c r="FU15" s="437"/>
      <c r="FV15" s="437"/>
      <c r="FW15" s="437"/>
      <c r="FX15" s="437"/>
      <c r="FY15" s="437"/>
      <c r="FZ15" s="437"/>
      <c r="GA15" s="437"/>
      <c r="GB15" s="437"/>
      <c r="GC15" s="437"/>
      <c r="GD15" s="437"/>
      <c r="GE15" s="437"/>
      <c r="GF15" s="437"/>
      <c r="GG15" s="437"/>
      <c r="GH15" s="437"/>
      <c r="GI15" s="437"/>
      <c r="GJ15" s="437"/>
      <c r="GK15" s="437"/>
      <c r="GL15" s="437"/>
      <c r="GM15" s="437"/>
      <c r="GN15" s="437"/>
      <c r="GO15" s="437"/>
      <c r="GP15" s="437"/>
      <c r="GQ15" s="437"/>
      <c r="GR15" s="437"/>
      <c r="GS15" s="437"/>
      <c r="GT15" s="437"/>
      <c r="GU15" s="437"/>
      <c r="GV15" s="437"/>
      <c r="GW15" s="437"/>
      <c r="GX15" s="437"/>
      <c r="GY15" s="437"/>
      <c r="GZ15" s="437"/>
      <c r="HA15" s="437"/>
      <c r="HB15" s="437"/>
      <c r="HC15" s="437"/>
      <c r="HD15" s="437"/>
      <c r="HE15" s="437"/>
      <c r="HF15" s="437"/>
      <c r="HG15" s="437"/>
      <c r="HH15" s="437"/>
      <c r="HI15" s="437"/>
      <c r="HJ15" s="437"/>
      <c r="HK15" s="437"/>
      <c r="HL15" s="437"/>
      <c r="HM15" s="437"/>
      <c r="HN15" s="437"/>
      <c r="HO15" s="437"/>
      <c r="HP15" s="437"/>
      <c r="HQ15" s="437"/>
      <c r="HR15" s="437"/>
      <c r="HS15" s="437"/>
      <c r="HT15" s="437"/>
      <c r="HU15" s="437"/>
      <c r="HV15" s="437"/>
      <c r="HW15" s="437"/>
      <c r="HX15" s="437"/>
      <c r="HY15" s="437"/>
      <c r="HZ15" s="437"/>
      <c r="IA15" s="437"/>
      <c r="IB15" s="437"/>
      <c r="IC15" s="437"/>
      <c r="ID15" s="437"/>
      <c r="IE15" s="437"/>
      <c r="IF15" s="437"/>
      <c r="IG15" s="437"/>
      <c r="IH15" s="437"/>
      <c r="II15" s="437"/>
      <c r="IJ15" s="437"/>
      <c r="IK15" s="437"/>
      <c r="IL15" s="437"/>
      <c r="IM15"/>
      <c r="IN15"/>
      <c r="IO15"/>
      <c r="IP15"/>
      <c r="IQ15"/>
      <c r="IR15"/>
      <c r="IS15"/>
      <c r="IT15"/>
    </row>
    <row r="16" spans="1:254" ht="12.95" customHeight="1" x14ac:dyDescent="0.15"/>
    <row r="17" spans="1:254" s="174" customFormat="1" ht="12.95" customHeight="1" x14ac:dyDescent="0.15">
      <c r="A17" s="434" t="s">
        <v>711</v>
      </c>
      <c r="B17" s="434"/>
      <c r="C17" s="434"/>
      <c r="D17" s="434"/>
      <c r="E17" s="435" t="s">
        <v>712</v>
      </c>
      <c r="F17" s="435"/>
      <c r="G17" s="431" t="s">
        <v>1</v>
      </c>
      <c r="H17" s="431"/>
      <c r="I17" s="431" t="s">
        <v>930</v>
      </c>
      <c r="J17" s="431"/>
      <c r="K17" s="431"/>
      <c r="L17" s="431"/>
      <c r="M17" s="432" t="s">
        <v>925</v>
      </c>
      <c r="N17" s="433" t="s">
        <v>926</v>
      </c>
      <c r="O17" s="422"/>
      <c r="P17" s="422"/>
      <c r="Q17" s="422"/>
      <c r="R17" s="422"/>
      <c r="S17" s="422"/>
      <c r="T17" s="422"/>
      <c r="U17" s="422"/>
      <c r="V17" s="422"/>
      <c r="W17" s="422"/>
      <c r="X17" s="422"/>
      <c r="Y17" s="422"/>
      <c r="Z17" s="422"/>
      <c r="AA17" s="422"/>
      <c r="AB17" s="422"/>
      <c r="AC17" s="422"/>
      <c r="AD17" s="422"/>
      <c r="AE17" s="422"/>
      <c r="AF17" s="422"/>
      <c r="AG17" s="422"/>
      <c r="AH17" s="422"/>
      <c r="AI17" s="422"/>
      <c r="AJ17" s="422"/>
      <c r="AK17" s="422"/>
      <c r="AL17" s="422"/>
      <c r="AM17" s="422"/>
      <c r="AN17" s="422"/>
      <c r="AO17" s="422"/>
      <c r="AP17" s="422"/>
      <c r="AQ17" s="422"/>
      <c r="AR17" s="422"/>
      <c r="AS17" s="422"/>
      <c r="AT17" s="422"/>
      <c r="AU17" s="422"/>
      <c r="AV17" s="422"/>
      <c r="AW17" s="422"/>
      <c r="AX17" s="422"/>
      <c r="AY17" s="422"/>
      <c r="AZ17" s="422"/>
      <c r="BA17" s="422"/>
      <c r="BB17" s="422"/>
      <c r="BC17" s="422"/>
      <c r="BD17" s="422"/>
      <c r="BE17" s="422"/>
      <c r="BF17" s="422"/>
      <c r="BG17" s="422"/>
      <c r="BH17" s="422"/>
      <c r="BI17" s="422"/>
      <c r="BJ17" s="422"/>
      <c r="BK17" s="422"/>
      <c r="BL17" s="422"/>
      <c r="BM17" s="422"/>
      <c r="BN17" s="422"/>
      <c r="BO17" s="422"/>
      <c r="BP17" s="422"/>
      <c r="BQ17" s="422"/>
      <c r="BR17" s="422"/>
      <c r="BS17" s="422"/>
      <c r="BT17" s="422"/>
      <c r="BU17" s="422"/>
      <c r="BV17" s="422"/>
      <c r="BW17" s="422"/>
      <c r="BX17" s="422"/>
      <c r="BY17" s="422"/>
      <c r="BZ17" s="422"/>
      <c r="CA17" s="422"/>
      <c r="CB17" s="422"/>
      <c r="CC17" s="422"/>
      <c r="CD17" s="422"/>
      <c r="CE17" s="422"/>
      <c r="CF17" s="422"/>
      <c r="CG17" s="422"/>
      <c r="CH17" s="422"/>
      <c r="CI17" s="422"/>
      <c r="CJ17" s="422"/>
      <c r="CK17" s="422"/>
      <c r="CL17" s="422"/>
      <c r="CM17" s="422"/>
      <c r="CN17" s="422"/>
      <c r="CO17" s="422"/>
      <c r="CP17" s="422"/>
      <c r="CQ17" s="422"/>
      <c r="CR17" s="422"/>
      <c r="CS17" s="422"/>
      <c r="CT17" s="422"/>
      <c r="CU17" s="422"/>
      <c r="CV17" s="422"/>
      <c r="CW17" s="422"/>
      <c r="CX17" s="422"/>
      <c r="CY17" s="422"/>
      <c r="CZ17" s="422"/>
      <c r="DA17" s="422"/>
      <c r="DB17" s="422"/>
      <c r="DC17" s="422"/>
      <c r="DD17" s="422"/>
      <c r="DE17" s="422"/>
      <c r="DF17" s="422"/>
      <c r="DG17" s="422"/>
      <c r="DH17" s="422"/>
      <c r="DI17" s="422"/>
      <c r="DJ17" s="422"/>
      <c r="DK17" s="422"/>
      <c r="DL17" s="422"/>
      <c r="DM17" s="422"/>
      <c r="DN17" s="422"/>
      <c r="DO17" s="422"/>
      <c r="DP17" s="422"/>
      <c r="DQ17" s="422"/>
      <c r="DR17" s="422"/>
      <c r="DS17" s="422"/>
      <c r="DT17" s="422"/>
      <c r="DU17" s="422"/>
      <c r="DV17" s="422"/>
      <c r="DW17" s="422"/>
      <c r="DX17" s="422"/>
      <c r="DY17" s="422"/>
      <c r="DZ17" s="422"/>
      <c r="EA17" s="422"/>
      <c r="EB17" s="422"/>
      <c r="EC17" s="422"/>
      <c r="ED17" s="422"/>
      <c r="EE17" s="422"/>
      <c r="EF17" s="422"/>
      <c r="EG17" s="422"/>
      <c r="EH17" s="422"/>
      <c r="EI17" s="422"/>
      <c r="EJ17" s="422"/>
      <c r="EK17" s="422"/>
      <c r="EL17" s="422"/>
      <c r="EM17" s="422"/>
      <c r="EN17" s="422"/>
      <c r="EO17" s="422"/>
      <c r="EP17" s="422"/>
      <c r="EQ17" s="422"/>
      <c r="ER17" s="422"/>
      <c r="ES17" s="422"/>
      <c r="ET17" s="422"/>
      <c r="EU17" s="422"/>
      <c r="EV17" s="422"/>
      <c r="EW17" s="422"/>
      <c r="EX17" s="422"/>
      <c r="EY17" s="422"/>
      <c r="EZ17" s="422"/>
      <c r="FA17" s="422"/>
      <c r="FB17" s="422"/>
      <c r="FC17" s="422"/>
      <c r="FD17" s="422"/>
      <c r="FE17" s="422"/>
      <c r="FF17" s="422"/>
      <c r="FG17" s="422"/>
      <c r="FH17" s="422"/>
      <c r="FI17" s="422"/>
      <c r="FJ17" s="422"/>
      <c r="FK17" s="422"/>
      <c r="FL17" s="422"/>
      <c r="FM17" s="422"/>
      <c r="FN17" s="422"/>
      <c r="FO17" s="422"/>
      <c r="FP17" s="422"/>
      <c r="FQ17" s="422"/>
      <c r="FR17" s="422"/>
      <c r="FS17" s="422"/>
      <c r="FT17" s="422"/>
      <c r="FU17" s="422"/>
      <c r="FV17" s="422"/>
      <c r="FW17" s="422"/>
      <c r="FX17" s="422"/>
      <c r="FY17" s="422"/>
      <c r="FZ17" s="422"/>
      <c r="GA17" s="422"/>
      <c r="GB17" s="422"/>
      <c r="GC17" s="422"/>
      <c r="GD17" s="422"/>
      <c r="GE17" s="422"/>
      <c r="GF17" s="422"/>
      <c r="GG17" s="422"/>
      <c r="GH17" s="422"/>
      <c r="GI17" s="422"/>
      <c r="GJ17" s="422"/>
      <c r="GK17" s="422"/>
      <c r="GL17" s="422"/>
      <c r="GM17" s="422"/>
      <c r="GN17" s="422"/>
      <c r="GO17" s="422"/>
      <c r="GP17" s="422"/>
      <c r="GQ17" s="422"/>
      <c r="GR17" s="422"/>
      <c r="GS17" s="422"/>
      <c r="GT17" s="422"/>
      <c r="GU17" s="422"/>
      <c r="GV17" s="422"/>
      <c r="GW17" s="422"/>
      <c r="GX17" s="422"/>
      <c r="GY17" s="422"/>
      <c r="GZ17" s="422"/>
      <c r="HA17" s="422"/>
      <c r="HB17" s="422"/>
      <c r="HC17" s="422"/>
      <c r="HD17" s="422"/>
      <c r="HE17" s="422"/>
      <c r="HF17" s="422"/>
      <c r="HG17" s="422"/>
      <c r="HH17" s="422"/>
      <c r="HI17" s="422"/>
      <c r="HJ17" s="422"/>
      <c r="HK17" s="422"/>
      <c r="HL17" s="422"/>
      <c r="HM17" s="422"/>
      <c r="HN17" s="422"/>
      <c r="HO17" s="422"/>
      <c r="HP17" s="422"/>
      <c r="HQ17" s="422"/>
      <c r="HR17" s="422"/>
      <c r="HS17" s="422"/>
      <c r="HT17" s="422"/>
      <c r="HU17" s="422"/>
      <c r="HV17" s="422"/>
      <c r="HW17" s="422"/>
      <c r="HX17" s="422"/>
      <c r="HY17" s="422"/>
      <c r="HZ17" s="422"/>
      <c r="IA17" s="422"/>
      <c r="IB17" s="422"/>
      <c r="IC17" s="422"/>
      <c r="ID17" s="422"/>
      <c r="IE17" s="422"/>
      <c r="IF17" s="422"/>
      <c r="IG17" s="422"/>
      <c r="IH17" s="422"/>
      <c r="II17" s="422"/>
      <c r="IJ17" s="422"/>
      <c r="IK17" s="422"/>
      <c r="IL17" s="421"/>
      <c r="IM17" s="15"/>
      <c r="IN17" s="15"/>
      <c r="IO17" s="15"/>
      <c r="IP17" s="15"/>
      <c r="IQ17" s="15"/>
      <c r="IR17" s="15"/>
      <c r="IS17" s="15"/>
      <c r="IT17" s="15"/>
    </row>
    <row r="18" spans="1:254" s="174" customFormat="1" ht="12.95" customHeight="1" x14ac:dyDescent="0.15">
      <c r="A18" s="423" t="str">
        <f>キャラシート!B3</f>
        <v>園　松温（その　しょうおん）</v>
      </c>
      <c r="B18" s="423"/>
      <c r="C18" s="423"/>
      <c r="D18" s="423"/>
      <c r="E18" s="424" t="str">
        <f>キャラシート!J3</f>
        <v>はむぱん</v>
      </c>
      <c r="F18" s="424"/>
      <c r="G18" s="425" t="s">
        <v>64</v>
      </c>
      <c r="H18" s="425"/>
      <c r="I18" s="426"/>
      <c r="J18" s="426"/>
      <c r="K18" s="426"/>
      <c r="L18" s="426"/>
      <c r="M18" s="432"/>
      <c r="N18" s="433"/>
      <c r="O18" s="422"/>
      <c r="P18" s="422"/>
      <c r="Q18" s="422"/>
      <c r="R18" s="422"/>
      <c r="S18" s="422"/>
      <c r="T18" s="422"/>
      <c r="U18" s="422"/>
      <c r="V18" s="422"/>
      <c r="W18" s="422"/>
      <c r="X18" s="422"/>
      <c r="Y18" s="422"/>
      <c r="Z18" s="422"/>
      <c r="AA18" s="422"/>
      <c r="AB18" s="422"/>
      <c r="AC18" s="422"/>
      <c r="AD18" s="422"/>
      <c r="AE18" s="422"/>
      <c r="AF18" s="422"/>
      <c r="AG18" s="422"/>
      <c r="AH18" s="422"/>
      <c r="AI18" s="422"/>
      <c r="AJ18" s="422"/>
      <c r="AK18" s="422"/>
      <c r="AL18" s="422"/>
      <c r="AM18" s="422"/>
      <c r="AN18" s="422"/>
      <c r="AO18" s="422"/>
      <c r="AP18" s="422"/>
      <c r="AQ18" s="422"/>
      <c r="AR18" s="422"/>
      <c r="AS18" s="422"/>
      <c r="AT18" s="422"/>
      <c r="AU18" s="422"/>
      <c r="AV18" s="422"/>
      <c r="AW18" s="422"/>
      <c r="AX18" s="422"/>
      <c r="AY18" s="422"/>
      <c r="AZ18" s="422"/>
      <c r="BA18" s="422"/>
      <c r="BB18" s="422"/>
      <c r="BC18" s="422"/>
      <c r="BD18" s="422"/>
      <c r="BE18" s="422"/>
      <c r="BF18" s="422"/>
      <c r="BG18" s="422"/>
      <c r="BH18" s="422"/>
      <c r="BI18" s="422"/>
      <c r="BJ18" s="422"/>
      <c r="BK18" s="422"/>
      <c r="BL18" s="422"/>
      <c r="BM18" s="422"/>
      <c r="BN18" s="422"/>
      <c r="BO18" s="422"/>
      <c r="BP18" s="422"/>
      <c r="BQ18" s="422"/>
      <c r="BR18" s="422"/>
      <c r="BS18" s="422"/>
      <c r="BT18" s="422"/>
      <c r="BU18" s="422"/>
      <c r="BV18" s="422"/>
      <c r="BW18" s="422"/>
      <c r="BX18" s="422"/>
      <c r="BY18" s="422"/>
      <c r="BZ18" s="422"/>
      <c r="CA18" s="422"/>
      <c r="CB18" s="422"/>
      <c r="CC18" s="422"/>
      <c r="CD18" s="422"/>
      <c r="CE18" s="422"/>
      <c r="CF18" s="422"/>
      <c r="CG18" s="422"/>
      <c r="CH18" s="422"/>
      <c r="CI18" s="422"/>
      <c r="CJ18" s="422"/>
      <c r="CK18" s="422"/>
      <c r="CL18" s="422"/>
      <c r="CM18" s="422"/>
      <c r="CN18" s="422"/>
      <c r="CO18" s="422"/>
      <c r="CP18" s="422"/>
      <c r="CQ18" s="422"/>
      <c r="CR18" s="422"/>
      <c r="CS18" s="422"/>
      <c r="CT18" s="422"/>
      <c r="CU18" s="422"/>
      <c r="CV18" s="422"/>
      <c r="CW18" s="422"/>
      <c r="CX18" s="422"/>
      <c r="CY18" s="422"/>
      <c r="CZ18" s="422"/>
      <c r="DA18" s="422"/>
      <c r="DB18" s="422"/>
      <c r="DC18" s="422"/>
      <c r="DD18" s="422"/>
      <c r="DE18" s="422"/>
      <c r="DF18" s="422"/>
      <c r="DG18" s="422"/>
      <c r="DH18" s="422"/>
      <c r="DI18" s="422"/>
      <c r="DJ18" s="422"/>
      <c r="DK18" s="422"/>
      <c r="DL18" s="422"/>
      <c r="DM18" s="422"/>
      <c r="DN18" s="422"/>
      <c r="DO18" s="422"/>
      <c r="DP18" s="422"/>
      <c r="DQ18" s="422"/>
      <c r="DR18" s="422"/>
      <c r="DS18" s="422"/>
      <c r="DT18" s="422"/>
      <c r="DU18" s="422"/>
      <c r="DV18" s="422"/>
      <c r="DW18" s="422"/>
      <c r="DX18" s="422"/>
      <c r="DY18" s="422"/>
      <c r="DZ18" s="422"/>
      <c r="EA18" s="422"/>
      <c r="EB18" s="422"/>
      <c r="EC18" s="422"/>
      <c r="ED18" s="422"/>
      <c r="EE18" s="422"/>
      <c r="EF18" s="422"/>
      <c r="EG18" s="422"/>
      <c r="EH18" s="422"/>
      <c r="EI18" s="422"/>
      <c r="EJ18" s="422"/>
      <c r="EK18" s="422"/>
      <c r="EL18" s="422"/>
      <c r="EM18" s="422"/>
      <c r="EN18" s="422"/>
      <c r="EO18" s="422"/>
      <c r="EP18" s="422"/>
      <c r="EQ18" s="422"/>
      <c r="ER18" s="422"/>
      <c r="ES18" s="422"/>
      <c r="ET18" s="422"/>
      <c r="EU18" s="422"/>
      <c r="EV18" s="422"/>
      <c r="EW18" s="422"/>
      <c r="EX18" s="422"/>
      <c r="EY18" s="422"/>
      <c r="EZ18" s="422"/>
      <c r="FA18" s="422"/>
      <c r="FB18" s="422"/>
      <c r="FC18" s="422"/>
      <c r="FD18" s="422"/>
      <c r="FE18" s="422"/>
      <c r="FF18" s="422"/>
      <c r="FG18" s="422"/>
      <c r="FH18" s="422"/>
      <c r="FI18" s="422"/>
      <c r="FJ18" s="422"/>
      <c r="FK18" s="422"/>
      <c r="FL18" s="422"/>
      <c r="FM18" s="422"/>
      <c r="FN18" s="422"/>
      <c r="FO18" s="422"/>
      <c r="FP18" s="422"/>
      <c r="FQ18" s="422"/>
      <c r="FR18" s="422"/>
      <c r="FS18" s="422"/>
      <c r="FT18" s="422"/>
      <c r="FU18" s="422"/>
      <c r="FV18" s="422"/>
      <c r="FW18" s="422"/>
      <c r="FX18" s="422"/>
      <c r="FY18" s="422"/>
      <c r="FZ18" s="422"/>
      <c r="GA18" s="422"/>
      <c r="GB18" s="422"/>
      <c r="GC18" s="422"/>
      <c r="GD18" s="422"/>
      <c r="GE18" s="422"/>
      <c r="GF18" s="422"/>
      <c r="GG18" s="422"/>
      <c r="GH18" s="422"/>
      <c r="GI18" s="422"/>
      <c r="GJ18" s="422"/>
      <c r="GK18" s="422"/>
      <c r="GL18" s="422"/>
      <c r="GM18" s="422"/>
      <c r="GN18" s="422"/>
      <c r="GO18" s="422"/>
      <c r="GP18" s="422"/>
      <c r="GQ18" s="422"/>
      <c r="GR18" s="422"/>
      <c r="GS18" s="422"/>
      <c r="GT18" s="422"/>
      <c r="GU18" s="422"/>
      <c r="GV18" s="422"/>
      <c r="GW18" s="422"/>
      <c r="GX18" s="422"/>
      <c r="GY18" s="422"/>
      <c r="GZ18" s="422"/>
      <c r="HA18" s="422"/>
      <c r="HB18" s="422"/>
      <c r="HC18" s="422"/>
      <c r="HD18" s="422"/>
      <c r="HE18" s="422"/>
      <c r="HF18" s="422"/>
      <c r="HG18" s="422"/>
      <c r="HH18" s="422"/>
      <c r="HI18" s="422"/>
      <c r="HJ18" s="422"/>
      <c r="HK18" s="422"/>
      <c r="HL18" s="422"/>
      <c r="HM18" s="422"/>
      <c r="HN18" s="422"/>
      <c r="HO18" s="422"/>
      <c r="HP18" s="422"/>
      <c r="HQ18" s="422"/>
      <c r="HR18" s="422"/>
      <c r="HS18" s="422"/>
      <c r="HT18" s="422"/>
      <c r="HU18" s="422"/>
      <c r="HV18" s="422"/>
      <c r="HW18" s="422"/>
      <c r="HX18" s="422"/>
      <c r="HY18" s="422"/>
      <c r="HZ18" s="422"/>
      <c r="IA18" s="422"/>
      <c r="IB18" s="422"/>
      <c r="IC18" s="422"/>
      <c r="ID18" s="422"/>
      <c r="IE18" s="422"/>
      <c r="IF18" s="422"/>
      <c r="IG18" s="422"/>
      <c r="IH18" s="422"/>
      <c r="II18" s="422"/>
      <c r="IJ18" s="422"/>
      <c r="IK18" s="422"/>
      <c r="IL18" s="422"/>
      <c r="IM18" s="15"/>
      <c r="IN18" s="15"/>
      <c r="IO18" s="15"/>
      <c r="IP18" s="15"/>
      <c r="IQ18" s="15"/>
      <c r="IR18" s="15"/>
      <c r="IS18" s="15"/>
      <c r="IT18" s="15"/>
    </row>
    <row r="19" spans="1:254" s="174" customFormat="1" ht="12.95" customHeight="1" x14ac:dyDescent="0.15">
      <c r="A19" s="427" t="s">
        <v>931</v>
      </c>
      <c r="B19" s="427"/>
      <c r="C19" s="428" t="s">
        <v>772</v>
      </c>
      <c r="D19" s="428"/>
      <c r="E19" s="429" t="s">
        <v>778</v>
      </c>
      <c r="F19" s="429"/>
      <c r="G19" s="418" t="s">
        <v>4</v>
      </c>
      <c r="H19" s="418"/>
      <c r="I19" s="426"/>
      <c r="J19" s="426"/>
      <c r="K19" s="426"/>
      <c r="L19" s="426"/>
      <c r="M19" s="432"/>
      <c r="N19" s="433"/>
      <c r="O19" s="422"/>
      <c r="P19" s="422"/>
      <c r="Q19" s="422"/>
      <c r="R19" s="422"/>
      <c r="S19" s="422"/>
      <c r="T19" s="422"/>
      <c r="U19" s="422"/>
      <c r="V19" s="422"/>
      <c r="W19" s="422"/>
      <c r="X19" s="422"/>
      <c r="Y19" s="422"/>
      <c r="Z19" s="422"/>
      <c r="AA19" s="422"/>
      <c r="AB19" s="422"/>
      <c r="AC19" s="422"/>
      <c r="AD19" s="422"/>
      <c r="AE19" s="422"/>
      <c r="AF19" s="422"/>
      <c r="AG19" s="422"/>
      <c r="AH19" s="422"/>
      <c r="AI19" s="422"/>
      <c r="AJ19" s="422"/>
      <c r="AK19" s="422"/>
      <c r="AL19" s="422"/>
      <c r="AM19" s="422"/>
      <c r="AN19" s="422"/>
      <c r="AO19" s="422"/>
      <c r="AP19" s="422"/>
      <c r="AQ19" s="422"/>
      <c r="AR19" s="422"/>
      <c r="AS19" s="422"/>
      <c r="AT19" s="422"/>
      <c r="AU19" s="422"/>
      <c r="AV19" s="422"/>
      <c r="AW19" s="422"/>
      <c r="AX19" s="422"/>
      <c r="AY19" s="422"/>
      <c r="AZ19" s="422"/>
      <c r="BA19" s="422"/>
      <c r="BB19" s="422"/>
      <c r="BC19" s="422"/>
      <c r="BD19" s="422"/>
      <c r="BE19" s="422"/>
      <c r="BF19" s="422"/>
      <c r="BG19" s="422"/>
      <c r="BH19" s="422"/>
      <c r="BI19" s="422"/>
      <c r="BJ19" s="422"/>
      <c r="BK19" s="422"/>
      <c r="BL19" s="422"/>
      <c r="BM19" s="422"/>
      <c r="BN19" s="422"/>
      <c r="BO19" s="422"/>
      <c r="BP19" s="422"/>
      <c r="BQ19" s="422"/>
      <c r="BR19" s="422"/>
      <c r="BS19" s="422"/>
      <c r="BT19" s="422"/>
      <c r="BU19" s="422"/>
      <c r="BV19" s="422"/>
      <c r="BW19" s="422"/>
      <c r="BX19" s="422"/>
      <c r="BY19" s="422"/>
      <c r="BZ19" s="422"/>
      <c r="CA19" s="422"/>
      <c r="CB19" s="422"/>
      <c r="CC19" s="422"/>
      <c r="CD19" s="422"/>
      <c r="CE19" s="422"/>
      <c r="CF19" s="422"/>
      <c r="CG19" s="422"/>
      <c r="CH19" s="422"/>
      <c r="CI19" s="422"/>
      <c r="CJ19" s="422"/>
      <c r="CK19" s="422"/>
      <c r="CL19" s="422"/>
      <c r="CM19" s="422"/>
      <c r="CN19" s="422"/>
      <c r="CO19" s="422"/>
      <c r="CP19" s="422"/>
      <c r="CQ19" s="422"/>
      <c r="CR19" s="422"/>
      <c r="CS19" s="422"/>
      <c r="CT19" s="422"/>
      <c r="CU19" s="422"/>
      <c r="CV19" s="422"/>
      <c r="CW19" s="422"/>
      <c r="CX19" s="422"/>
      <c r="CY19" s="422"/>
      <c r="CZ19" s="422"/>
      <c r="DA19" s="422"/>
      <c r="DB19" s="422"/>
      <c r="DC19" s="422"/>
      <c r="DD19" s="422"/>
      <c r="DE19" s="422"/>
      <c r="DF19" s="422"/>
      <c r="DG19" s="422"/>
      <c r="DH19" s="422"/>
      <c r="DI19" s="422"/>
      <c r="DJ19" s="422"/>
      <c r="DK19" s="422"/>
      <c r="DL19" s="422"/>
      <c r="DM19" s="422"/>
      <c r="DN19" s="422"/>
      <c r="DO19" s="422"/>
      <c r="DP19" s="422"/>
      <c r="DQ19" s="422"/>
      <c r="DR19" s="422"/>
      <c r="DS19" s="422"/>
      <c r="DT19" s="422"/>
      <c r="DU19" s="422"/>
      <c r="DV19" s="422"/>
      <c r="DW19" s="422"/>
      <c r="DX19" s="422"/>
      <c r="DY19" s="422"/>
      <c r="DZ19" s="422"/>
      <c r="EA19" s="422"/>
      <c r="EB19" s="422"/>
      <c r="EC19" s="422"/>
      <c r="ED19" s="422"/>
      <c r="EE19" s="422"/>
      <c r="EF19" s="422"/>
      <c r="EG19" s="422"/>
      <c r="EH19" s="422"/>
      <c r="EI19" s="422"/>
      <c r="EJ19" s="422"/>
      <c r="EK19" s="422"/>
      <c r="EL19" s="422"/>
      <c r="EM19" s="422"/>
      <c r="EN19" s="422"/>
      <c r="EO19" s="422"/>
      <c r="EP19" s="422"/>
      <c r="EQ19" s="422"/>
      <c r="ER19" s="422"/>
      <c r="ES19" s="422"/>
      <c r="ET19" s="422"/>
      <c r="EU19" s="422"/>
      <c r="EV19" s="422"/>
      <c r="EW19" s="422"/>
      <c r="EX19" s="422"/>
      <c r="EY19" s="422"/>
      <c r="EZ19" s="422"/>
      <c r="FA19" s="422"/>
      <c r="FB19" s="422"/>
      <c r="FC19" s="422"/>
      <c r="FD19" s="422"/>
      <c r="FE19" s="422"/>
      <c r="FF19" s="422"/>
      <c r="FG19" s="422"/>
      <c r="FH19" s="422"/>
      <c r="FI19" s="422"/>
      <c r="FJ19" s="422"/>
      <c r="FK19" s="422"/>
      <c r="FL19" s="422"/>
      <c r="FM19" s="422"/>
      <c r="FN19" s="422"/>
      <c r="FO19" s="422"/>
      <c r="FP19" s="422"/>
      <c r="FQ19" s="422"/>
      <c r="FR19" s="422"/>
      <c r="FS19" s="422"/>
      <c r="FT19" s="422"/>
      <c r="FU19" s="422"/>
      <c r="FV19" s="422"/>
      <c r="FW19" s="422"/>
      <c r="FX19" s="422"/>
      <c r="FY19" s="422"/>
      <c r="FZ19" s="422"/>
      <c r="GA19" s="422"/>
      <c r="GB19" s="422"/>
      <c r="GC19" s="422"/>
      <c r="GD19" s="422"/>
      <c r="GE19" s="422"/>
      <c r="GF19" s="422"/>
      <c r="GG19" s="422"/>
      <c r="GH19" s="422"/>
      <c r="GI19" s="422"/>
      <c r="GJ19" s="422"/>
      <c r="GK19" s="422"/>
      <c r="GL19" s="422"/>
      <c r="GM19" s="422"/>
      <c r="GN19" s="422"/>
      <c r="GO19" s="422"/>
      <c r="GP19" s="422"/>
      <c r="GQ19" s="422"/>
      <c r="GR19" s="422"/>
      <c r="GS19" s="422"/>
      <c r="GT19" s="422"/>
      <c r="GU19" s="422"/>
      <c r="GV19" s="422"/>
      <c r="GW19" s="422"/>
      <c r="GX19" s="422"/>
      <c r="GY19" s="422"/>
      <c r="GZ19" s="422"/>
      <c r="HA19" s="422"/>
      <c r="HB19" s="422"/>
      <c r="HC19" s="422"/>
      <c r="HD19" s="422"/>
      <c r="HE19" s="422"/>
      <c r="HF19" s="422"/>
      <c r="HG19" s="422"/>
      <c r="HH19" s="422"/>
      <c r="HI19" s="422"/>
      <c r="HJ19" s="422"/>
      <c r="HK19" s="422"/>
      <c r="HL19" s="422"/>
      <c r="HM19" s="422"/>
      <c r="HN19" s="422"/>
      <c r="HO19" s="422"/>
      <c r="HP19" s="422"/>
      <c r="HQ19" s="422"/>
      <c r="HR19" s="422"/>
      <c r="HS19" s="422"/>
      <c r="HT19" s="422"/>
      <c r="HU19" s="422"/>
      <c r="HV19" s="422"/>
      <c r="HW19" s="422"/>
      <c r="HX19" s="422"/>
      <c r="HY19" s="422"/>
      <c r="HZ19" s="422"/>
      <c r="IA19" s="422"/>
      <c r="IB19" s="422"/>
      <c r="IC19" s="422"/>
      <c r="ID19" s="422"/>
      <c r="IE19" s="422"/>
      <c r="IF19" s="422"/>
      <c r="IG19" s="422"/>
      <c r="IH19" s="422"/>
      <c r="II19" s="422"/>
      <c r="IJ19" s="422"/>
      <c r="IK19" s="422"/>
      <c r="IL19" s="422"/>
      <c r="IM19" s="15"/>
      <c r="IN19" s="15"/>
      <c r="IO19" s="15"/>
      <c r="IP19" s="15"/>
      <c r="IQ19" s="15"/>
      <c r="IR19" s="15"/>
      <c r="IS19" s="15"/>
      <c r="IT19" s="15"/>
    </row>
    <row r="20" spans="1:254" s="174" customFormat="1" ht="12.95" customHeight="1" x14ac:dyDescent="0.15">
      <c r="A20" s="175">
        <f>B20+SUM(O24:IL24)</f>
        <v>11</v>
      </c>
      <c r="B20" s="176">
        <f>J24+L24</f>
        <v>11</v>
      </c>
      <c r="C20" s="177">
        <f>D20-SUM(O25:IL25)+SUM(O26:IL26)</f>
        <v>24</v>
      </c>
      <c r="D20" s="178">
        <f>J26+L26</f>
        <v>24</v>
      </c>
      <c r="E20" s="179">
        <f>J27+L27</f>
        <v>22</v>
      </c>
      <c r="F20" s="180">
        <f>E20+SUM(O27:IL27)</f>
        <v>22</v>
      </c>
      <c r="G20" s="436" t="s">
        <v>26</v>
      </c>
      <c r="H20" s="436"/>
      <c r="I20" s="426"/>
      <c r="J20" s="426"/>
      <c r="K20" s="426"/>
      <c r="L20" s="426"/>
      <c r="M20" s="432"/>
      <c r="N20" s="432"/>
      <c r="O20" s="422"/>
      <c r="P20" s="422"/>
      <c r="Q20" s="422"/>
      <c r="R20" s="422"/>
      <c r="S20" s="422"/>
      <c r="T20" s="422"/>
      <c r="U20" s="422"/>
      <c r="V20" s="422"/>
      <c r="W20" s="422"/>
      <c r="X20" s="422"/>
      <c r="Y20" s="422"/>
      <c r="Z20" s="422"/>
      <c r="AA20" s="422"/>
      <c r="AB20" s="422"/>
      <c r="AC20" s="422"/>
      <c r="AD20" s="422"/>
      <c r="AE20" s="422"/>
      <c r="AF20" s="422"/>
      <c r="AG20" s="422"/>
      <c r="AH20" s="422"/>
      <c r="AI20" s="422"/>
      <c r="AJ20" s="422"/>
      <c r="AK20" s="422"/>
      <c r="AL20" s="422"/>
      <c r="AM20" s="422"/>
      <c r="AN20" s="422"/>
      <c r="AO20" s="422"/>
      <c r="AP20" s="422"/>
      <c r="AQ20" s="422"/>
      <c r="AR20" s="422"/>
      <c r="AS20" s="422"/>
      <c r="AT20" s="422"/>
      <c r="AU20" s="422"/>
      <c r="AV20" s="422"/>
      <c r="AW20" s="422"/>
      <c r="AX20" s="422"/>
      <c r="AY20" s="422"/>
      <c r="AZ20" s="422"/>
      <c r="BA20" s="422"/>
      <c r="BB20" s="422"/>
      <c r="BC20" s="422"/>
      <c r="BD20" s="422"/>
      <c r="BE20" s="422"/>
      <c r="BF20" s="422"/>
      <c r="BG20" s="422"/>
      <c r="BH20" s="422"/>
      <c r="BI20" s="422"/>
      <c r="BJ20" s="422"/>
      <c r="BK20" s="422"/>
      <c r="BL20" s="422"/>
      <c r="BM20" s="422"/>
      <c r="BN20" s="422"/>
      <c r="BO20" s="422"/>
      <c r="BP20" s="422"/>
      <c r="BQ20" s="422"/>
      <c r="BR20" s="422"/>
      <c r="BS20" s="422"/>
      <c r="BT20" s="422"/>
      <c r="BU20" s="422"/>
      <c r="BV20" s="422"/>
      <c r="BW20" s="422"/>
      <c r="BX20" s="422"/>
      <c r="BY20" s="422"/>
      <c r="BZ20" s="422"/>
      <c r="CA20" s="422"/>
      <c r="CB20" s="422"/>
      <c r="CC20" s="422"/>
      <c r="CD20" s="422"/>
      <c r="CE20" s="422"/>
      <c r="CF20" s="422"/>
      <c r="CG20" s="422"/>
      <c r="CH20" s="422"/>
      <c r="CI20" s="422"/>
      <c r="CJ20" s="422"/>
      <c r="CK20" s="422"/>
      <c r="CL20" s="422"/>
      <c r="CM20" s="422"/>
      <c r="CN20" s="422"/>
      <c r="CO20" s="422"/>
      <c r="CP20" s="422"/>
      <c r="CQ20" s="422"/>
      <c r="CR20" s="422"/>
      <c r="CS20" s="422"/>
      <c r="CT20" s="422"/>
      <c r="CU20" s="422"/>
      <c r="CV20" s="422"/>
      <c r="CW20" s="422"/>
      <c r="CX20" s="422"/>
      <c r="CY20" s="422"/>
      <c r="CZ20" s="422"/>
      <c r="DA20" s="422"/>
      <c r="DB20" s="422"/>
      <c r="DC20" s="422"/>
      <c r="DD20" s="422"/>
      <c r="DE20" s="422"/>
      <c r="DF20" s="422"/>
      <c r="DG20" s="422"/>
      <c r="DH20" s="422"/>
      <c r="DI20" s="422"/>
      <c r="DJ20" s="422"/>
      <c r="DK20" s="422"/>
      <c r="DL20" s="422"/>
      <c r="DM20" s="422"/>
      <c r="DN20" s="422"/>
      <c r="DO20" s="422"/>
      <c r="DP20" s="422"/>
      <c r="DQ20" s="422"/>
      <c r="DR20" s="422"/>
      <c r="DS20" s="422"/>
      <c r="DT20" s="422"/>
      <c r="DU20" s="422"/>
      <c r="DV20" s="422"/>
      <c r="DW20" s="422"/>
      <c r="DX20" s="422"/>
      <c r="DY20" s="422"/>
      <c r="DZ20" s="422"/>
      <c r="EA20" s="422"/>
      <c r="EB20" s="422"/>
      <c r="EC20" s="422"/>
      <c r="ED20" s="422"/>
      <c r="EE20" s="422"/>
      <c r="EF20" s="422"/>
      <c r="EG20" s="422"/>
      <c r="EH20" s="422"/>
      <c r="EI20" s="422"/>
      <c r="EJ20" s="422"/>
      <c r="EK20" s="422"/>
      <c r="EL20" s="422"/>
      <c r="EM20" s="422"/>
      <c r="EN20" s="422"/>
      <c r="EO20" s="422"/>
      <c r="EP20" s="422"/>
      <c r="EQ20" s="422"/>
      <c r="ER20" s="422"/>
      <c r="ES20" s="422"/>
      <c r="ET20" s="422"/>
      <c r="EU20" s="422"/>
      <c r="EV20" s="422"/>
      <c r="EW20" s="422"/>
      <c r="EX20" s="422"/>
      <c r="EY20" s="422"/>
      <c r="EZ20" s="422"/>
      <c r="FA20" s="422"/>
      <c r="FB20" s="422"/>
      <c r="FC20" s="422"/>
      <c r="FD20" s="422"/>
      <c r="FE20" s="422"/>
      <c r="FF20" s="422"/>
      <c r="FG20" s="422"/>
      <c r="FH20" s="422"/>
      <c r="FI20" s="422"/>
      <c r="FJ20" s="422"/>
      <c r="FK20" s="422"/>
      <c r="FL20" s="422"/>
      <c r="FM20" s="422"/>
      <c r="FN20" s="422"/>
      <c r="FO20" s="422"/>
      <c r="FP20" s="422"/>
      <c r="FQ20" s="422"/>
      <c r="FR20" s="422"/>
      <c r="FS20" s="422"/>
      <c r="FT20" s="422"/>
      <c r="FU20" s="422"/>
      <c r="FV20" s="422"/>
      <c r="FW20" s="422"/>
      <c r="FX20" s="422"/>
      <c r="FY20" s="422"/>
      <c r="FZ20" s="422"/>
      <c r="GA20" s="422"/>
      <c r="GB20" s="422"/>
      <c r="GC20" s="422"/>
      <c r="GD20" s="422"/>
      <c r="GE20" s="422"/>
      <c r="GF20" s="422"/>
      <c r="GG20" s="422"/>
      <c r="GH20" s="422"/>
      <c r="GI20" s="422"/>
      <c r="GJ20" s="422"/>
      <c r="GK20" s="422"/>
      <c r="GL20" s="422"/>
      <c r="GM20" s="422"/>
      <c r="GN20" s="422"/>
      <c r="GO20" s="422"/>
      <c r="GP20" s="422"/>
      <c r="GQ20" s="422"/>
      <c r="GR20" s="422"/>
      <c r="GS20" s="422"/>
      <c r="GT20" s="422"/>
      <c r="GU20" s="422"/>
      <c r="GV20" s="422"/>
      <c r="GW20" s="422"/>
      <c r="GX20" s="422"/>
      <c r="GY20" s="422"/>
      <c r="GZ20" s="422"/>
      <c r="HA20" s="422"/>
      <c r="HB20" s="422"/>
      <c r="HC20" s="422"/>
      <c r="HD20" s="422"/>
      <c r="HE20" s="422"/>
      <c r="HF20" s="422"/>
      <c r="HG20" s="422"/>
      <c r="HH20" s="422"/>
      <c r="HI20" s="422"/>
      <c r="HJ20" s="422"/>
      <c r="HK20" s="422"/>
      <c r="HL20" s="422"/>
      <c r="HM20" s="422"/>
      <c r="HN20" s="422"/>
      <c r="HO20" s="422"/>
      <c r="HP20" s="422"/>
      <c r="HQ20" s="422"/>
      <c r="HR20" s="422"/>
      <c r="HS20" s="422"/>
      <c r="HT20" s="422"/>
      <c r="HU20" s="422"/>
      <c r="HV20" s="422"/>
      <c r="HW20" s="422"/>
      <c r="HX20" s="422"/>
      <c r="HY20" s="422"/>
      <c r="HZ20" s="422"/>
      <c r="IA20" s="422"/>
      <c r="IB20" s="422"/>
      <c r="IC20" s="422"/>
      <c r="ID20" s="422"/>
      <c r="IE20" s="422"/>
      <c r="IF20" s="422"/>
      <c r="IG20" s="422"/>
      <c r="IH20" s="422"/>
      <c r="II20" s="422"/>
      <c r="IJ20" s="422"/>
      <c r="IK20" s="422"/>
      <c r="IL20" s="422"/>
      <c r="IM20" s="15"/>
      <c r="IN20" s="15"/>
      <c r="IO20" s="15"/>
      <c r="IP20" s="15"/>
      <c r="IQ20" s="15"/>
      <c r="IR20" s="15"/>
      <c r="IS20" s="15"/>
      <c r="IT20" s="15"/>
    </row>
    <row r="21" spans="1:254" s="174" customFormat="1" ht="12" customHeight="1" x14ac:dyDescent="0.15">
      <c r="A21" s="415" t="s">
        <v>793</v>
      </c>
      <c r="B21" s="416">
        <f>キャラシート!D27</f>
        <v>6</v>
      </c>
      <c r="C21" s="181" t="s">
        <v>932</v>
      </c>
      <c r="D21" s="182" t="s">
        <v>933</v>
      </c>
      <c r="E21" s="417" t="str">
        <f>IF(F20&lt;100,IF(F20&lt;50,"通常状態",IF(F20&lt;60,"暴走Lv1 ",IF(F20&lt;70,"暴走Lv2",IF(F20&lt;80,"暴走Lv3",IF(F20&lt;90,"暴走Lv4","暴走Lv5"))))),IF(F20&lt;110,"臨界Lv1",IF(F20&lt;120,"臨界Lv2",IF(F20&lt;130,"臨界Lv3",IF(F20&lt;140,"臨界Lv4",IF(F20&lt;150,"臨界Lv5",IF(F20&lt;150,"活性Lv5","因子崩壊")))))))</f>
        <v>通常状態</v>
      </c>
      <c r="F21" s="417"/>
      <c r="G21" s="418" t="s">
        <v>15</v>
      </c>
      <c r="H21" s="418"/>
      <c r="I21" s="426"/>
      <c r="J21" s="426"/>
      <c r="K21" s="426"/>
      <c r="L21" s="426"/>
      <c r="M21" s="432"/>
      <c r="N21" s="432"/>
      <c r="O21" s="422"/>
      <c r="P21" s="422"/>
      <c r="Q21" s="422"/>
      <c r="R21" s="422"/>
      <c r="S21" s="422"/>
      <c r="T21" s="422"/>
      <c r="U21" s="422"/>
      <c r="V21" s="422"/>
      <c r="W21" s="422"/>
      <c r="X21" s="422"/>
      <c r="Y21" s="422"/>
      <c r="Z21" s="422"/>
      <c r="AA21" s="422"/>
      <c r="AB21" s="422"/>
      <c r="AC21" s="422"/>
      <c r="AD21" s="422"/>
      <c r="AE21" s="422"/>
      <c r="AF21" s="422"/>
      <c r="AG21" s="422"/>
      <c r="AH21" s="422"/>
      <c r="AI21" s="422"/>
      <c r="AJ21" s="422"/>
      <c r="AK21" s="422"/>
      <c r="AL21" s="422"/>
      <c r="AM21" s="422"/>
      <c r="AN21" s="422"/>
      <c r="AO21" s="422"/>
      <c r="AP21" s="422"/>
      <c r="AQ21" s="422"/>
      <c r="AR21" s="422"/>
      <c r="AS21" s="422"/>
      <c r="AT21" s="422"/>
      <c r="AU21" s="422"/>
      <c r="AV21" s="422"/>
      <c r="AW21" s="422"/>
      <c r="AX21" s="422"/>
      <c r="AY21" s="422"/>
      <c r="AZ21" s="422"/>
      <c r="BA21" s="422"/>
      <c r="BB21" s="422"/>
      <c r="BC21" s="422"/>
      <c r="BD21" s="422"/>
      <c r="BE21" s="422"/>
      <c r="BF21" s="422"/>
      <c r="BG21" s="422"/>
      <c r="BH21" s="422"/>
      <c r="BI21" s="422"/>
      <c r="BJ21" s="422"/>
      <c r="BK21" s="422"/>
      <c r="BL21" s="422"/>
      <c r="BM21" s="422"/>
      <c r="BN21" s="422"/>
      <c r="BO21" s="422"/>
      <c r="BP21" s="422"/>
      <c r="BQ21" s="422"/>
      <c r="BR21" s="422"/>
      <c r="BS21" s="422"/>
      <c r="BT21" s="422"/>
      <c r="BU21" s="422"/>
      <c r="BV21" s="422"/>
      <c r="BW21" s="422"/>
      <c r="BX21" s="422"/>
      <c r="BY21" s="422"/>
      <c r="BZ21" s="422"/>
      <c r="CA21" s="422"/>
      <c r="CB21" s="422"/>
      <c r="CC21" s="422"/>
      <c r="CD21" s="422"/>
      <c r="CE21" s="422"/>
      <c r="CF21" s="422"/>
      <c r="CG21" s="422"/>
      <c r="CH21" s="422"/>
      <c r="CI21" s="422"/>
      <c r="CJ21" s="422"/>
      <c r="CK21" s="422"/>
      <c r="CL21" s="422"/>
      <c r="CM21" s="422"/>
      <c r="CN21" s="422"/>
      <c r="CO21" s="422"/>
      <c r="CP21" s="422"/>
      <c r="CQ21" s="422"/>
      <c r="CR21" s="422"/>
      <c r="CS21" s="422"/>
      <c r="CT21" s="422"/>
      <c r="CU21" s="422"/>
      <c r="CV21" s="422"/>
      <c r="CW21" s="422"/>
      <c r="CX21" s="422"/>
      <c r="CY21" s="422"/>
      <c r="CZ21" s="422"/>
      <c r="DA21" s="422"/>
      <c r="DB21" s="422"/>
      <c r="DC21" s="422"/>
      <c r="DD21" s="422"/>
      <c r="DE21" s="422"/>
      <c r="DF21" s="422"/>
      <c r="DG21" s="422"/>
      <c r="DH21" s="422"/>
      <c r="DI21" s="422"/>
      <c r="DJ21" s="422"/>
      <c r="DK21" s="422"/>
      <c r="DL21" s="422"/>
      <c r="DM21" s="422"/>
      <c r="DN21" s="422"/>
      <c r="DO21" s="422"/>
      <c r="DP21" s="422"/>
      <c r="DQ21" s="422"/>
      <c r="DR21" s="422"/>
      <c r="DS21" s="422"/>
      <c r="DT21" s="422"/>
      <c r="DU21" s="422"/>
      <c r="DV21" s="422"/>
      <c r="DW21" s="422"/>
      <c r="DX21" s="422"/>
      <c r="DY21" s="422"/>
      <c r="DZ21" s="422"/>
      <c r="EA21" s="422"/>
      <c r="EB21" s="422"/>
      <c r="EC21" s="422"/>
      <c r="ED21" s="422"/>
      <c r="EE21" s="422"/>
      <c r="EF21" s="422"/>
      <c r="EG21" s="422"/>
      <c r="EH21" s="422"/>
      <c r="EI21" s="422"/>
      <c r="EJ21" s="422"/>
      <c r="EK21" s="422"/>
      <c r="EL21" s="422"/>
      <c r="EM21" s="422"/>
      <c r="EN21" s="422"/>
      <c r="EO21" s="422"/>
      <c r="EP21" s="422"/>
      <c r="EQ21" s="422"/>
      <c r="ER21" s="422"/>
      <c r="ES21" s="422"/>
      <c r="ET21" s="422"/>
      <c r="EU21" s="422"/>
      <c r="EV21" s="422"/>
      <c r="EW21" s="422"/>
      <c r="EX21" s="422"/>
      <c r="EY21" s="422"/>
      <c r="EZ21" s="422"/>
      <c r="FA21" s="422"/>
      <c r="FB21" s="422"/>
      <c r="FC21" s="422"/>
      <c r="FD21" s="422"/>
      <c r="FE21" s="422"/>
      <c r="FF21" s="422"/>
      <c r="FG21" s="422"/>
      <c r="FH21" s="422"/>
      <c r="FI21" s="422"/>
      <c r="FJ21" s="422"/>
      <c r="FK21" s="422"/>
      <c r="FL21" s="422"/>
      <c r="FM21" s="422"/>
      <c r="FN21" s="422"/>
      <c r="FO21" s="422"/>
      <c r="FP21" s="422"/>
      <c r="FQ21" s="422"/>
      <c r="FR21" s="422"/>
      <c r="FS21" s="422"/>
      <c r="FT21" s="422"/>
      <c r="FU21" s="422"/>
      <c r="FV21" s="422"/>
      <c r="FW21" s="422"/>
      <c r="FX21" s="422"/>
      <c r="FY21" s="422"/>
      <c r="FZ21" s="422"/>
      <c r="GA21" s="422"/>
      <c r="GB21" s="422"/>
      <c r="GC21" s="422"/>
      <c r="GD21" s="422"/>
      <c r="GE21" s="422"/>
      <c r="GF21" s="422"/>
      <c r="GG21" s="422"/>
      <c r="GH21" s="422"/>
      <c r="GI21" s="422"/>
      <c r="GJ21" s="422"/>
      <c r="GK21" s="422"/>
      <c r="GL21" s="422"/>
      <c r="GM21" s="422"/>
      <c r="GN21" s="422"/>
      <c r="GO21" s="422"/>
      <c r="GP21" s="422"/>
      <c r="GQ21" s="422"/>
      <c r="GR21" s="422"/>
      <c r="GS21" s="422"/>
      <c r="GT21" s="422"/>
      <c r="GU21" s="422"/>
      <c r="GV21" s="422"/>
      <c r="GW21" s="422"/>
      <c r="GX21" s="422"/>
      <c r="GY21" s="422"/>
      <c r="GZ21" s="422"/>
      <c r="HA21" s="422"/>
      <c r="HB21" s="422"/>
      <c r="HC21" s="422"/>
      <c r="HD21" s="422"/>
      <c r="HE21" s="422"/>
      <c r="HF21" s="422"/>
      <c r="HG21" s="422"/>
      <c r="HH21" s="422"/>
      <c r="HI21" s="422"/>
      <c r="HJ21" s="422"/>
      <c r="HK21" s="422"/>
      <c r="HL21" s="422"/>
      <c r="HM21" s="422"/>
      <c r="HN21" s="422"/>
      <c r="HO21" s="422"/>
      <c r="HP21" s="422"/>
      <c r="HQ21" s="422"/>
      <c r="HR21" s="422"/>
      <c r="HS21" s="422"/>
      <c r="HT21" s="422"/>
      <c r="HU21" s="422"/>
      <c r="HV21" s="422"/>
      <c r="HW21" s="422"/>
      <c r="HX21" s="422"/>
      <c r="HY21" s="422"/>
      <c r="HZ21" s="422"/>
      <c r="IA21" s="422"/>
      <c r="IB21" s="422"/>
      <c r="IC21" s="422"/>
      <c r="ID21" s="422"/>
      <c r="IE21" s="422"/>
      <c r="IF21" s="422"/>
      <c r="IG21" s="422"/>
      <c r="IH21" s="422"/>
      <c r="II21" s="422"/>
      <c r="IJ21" s="422"/>
      <c r="IK21" s="422"/>
      <c r="IL21" s="422"/>
      <c r="IM21" s="15"/>
      <c r="IN21" s="15"/>
      <c r="IO21" s="15"/>
      <c r="IP21" s="15"/>
      <c r="IQ21" s="15"/>
      <c r="IR21" s="15"/>
      <c r="IS21" s="15"/>
      <c r="IT21" s="15"/>
    </row>
    <row r="22" spans="1:254" s="174" customFormat="1" ht="12.95" customHeight="1" x14ac:dyDescent="0.15">
      <c r="A22" s="415"/>
      <c r="B22" s="416"/>
      <c r="C22" s="183">
        <f>SUM(L25:IQ25)</f>
        <v>0</v>
      </c>
      <c r="D22" s="184">
        <f>ROUNDDOWN((C22/5),0)+SUM(I23:IL23)</f>
        <v>0</v>
      </c>
      <c r="E22" s="419" t="str">
        <f>IF(F20&lt;50,"未活性",IF(F20&lt;60,"活性Lv1",IF(F20&lt;70,"活性Lv2",IF(F20&lt;80,"活性Lv3",IF(F20&lt;90,"活性Lv4",IF(F20&lt;100,"活性Lv5",IF(F20&lt;150,"活性Lv5","強制キャラロスト")))))))</f>
        <v>未活性</v>
      </c>
      <c r="F22" s="419"/>
      <c r="G22" s="420" t="s">
        <v>660</v>
      </c>
      <c r="H22" s="420"/>
      <c r="I22" s="426"/>
      <c r="J22" s="426"/>
      <c r="K22" s="426"/>
      <c r="L22" s="426"/>
      <c r="M22" s="432"/>
      <c r="N22" s="432"/>
      <c r="O22" s="422"/>
      <c r="P22" s="422"/>
      <c r="Q22" s="422"/>
      <c r="R22" s="422"/>
      <c r="S22" s="422"/>
      <c r="T22" s="422"/>
      <c r="U22" s="422"/>
      <c r="V22" s="422"/>
      <c r="W22" s="422"/>
      <c r="X22" s="422"/>
      <c r="Y22" s="422"/>
      <c r="Z22" s="422"/>
      <c r="AA22" s="422"/>
      <c r="AB22" s="422"/>
      <c r="AC22" s="422"/>
      <c r="AD22" s="422"/>
      <c r="AE22" s="422"/>
      <c r="AF22" s="422"/>
      <c r="AG22" s="422"/>
      <c r="AH22" s="422"/>
      <c r="AI22" s="422"/>
      <c r="AJ22" s="422"/>
      <c r="AK22" s="422"/>
      <c r="AL22" s="422"/>
      <c r="AM22" s="422"/>
      <c r="AN22" s="422"/>
      <c r="AO22" s="422"/>
      <c r="AP22" s="422"/>
      <c r="AQ22" s="422"/>
      <c r="AR22" s="422"/>
      <c r="AS22" s="422"/>
      <c r="AT22" s="422"/>
      <c r="AU22" s="422"/>
      <c r="AV22" s="422"/>
      <c r="AW22" s="422"/>
      <c r="AX22" s="422"/>
      <c r="AY22" s="422"/>
      <c r="AZ22" s="422"/>
      <c r="BA22" s="422"/>
      <c r="BB22" s="422"/>
      <c r="BC22" s="422"/>
      <c r="BD22" s="422"/>
      <c r="BE22" s="422"/>
      <c r="BF22" s="422"/>
      <c r="BG22" s="422"/>
      <c r="BH22" s="422"/>
      <c r="BI22" s="422"/>
      <c r="BJ22" s="422"/>
      <c r="BK22" s="422"/>
      <c r="BL22" s="422"/>
      <c r="BM22" s="422"/>
      <c r="BN22" s="422"/>
      <c r="BO22" s="422"/>
      <c r="BP22" s="422"/>
      <c r="BQ22" s="422"/>
      <c r="BR22" s="422"/>
      <c r="BS22" s="422"/>
      <c r="BT22" s="422"/>
      <c r="BU22" s="422"/>
      <c r="BV22" s="422"/>
      <c r="BW22" s="422"/>
      <c r="BX22" s="422"/>
      <c r="BY22" s="422"/>
      <c r="BZ22" s="422"/>
      <c r="CA22" s="422"/>
      <c r="CB22" s="422"/>
      <c r="CC22" s="422"/>
      <c r="CD22" s="422"/>
      <c r="CE22" s="422"/>
      <c r="CF22" s="422"/>
      <c r="CG22" s="422"/>
      <c r="CH22" s="422"/>
      <c r="CI22" s="422"/>
      <c r="CJ22" s="422"/>
      <c r="CK22" s="422"/>
      <c r="CL22" s="422"/>
      <c r="CM22" s="422"/>
      <c r="CN22" s="422"/>
      <c r="CO22" s="422"/>
      <c r="CP22" s="422"/>
      <c r="CQ22" s="422"/>
      <c r="CR22" s="422"/>
      <c r="CS22" s="422"/>
      <c r="CT22" s="422"/>
      <c r="CU22" s="422"/>
      <c r="CV22" s="422"/>
      <c r="CW22" s="422"/>
      <c r="CX22" s="422"/>
      <c r="CY22" s="422"/>
      <c r="CZ22" s="422"/>
      <c r="DA22" s="422"/>
      <c r="DB22" s="422"/>
      <c r="DC22" s="422"/>
      <c r="DD22" s="422"/>
      <c r="DE22" s="422"/>
      <c r="DF22" s="422"/>
      <c r="DG22" s="422"/>
      <c r="DH22" s="422"/>
      <c r="DI22" s="422"/>
      <c r="DJ22" s="422"/>
      <c r="DK22" s="422"/>
      <c r="DL22" s="422"/>
      <c r="DM22" s="422"/>
      <c r="DN22" s="422"/>
      <c r="DO22" s="422"/>
      <c r="DP22" s="422"/>
      <c r="DQ22" s="422"/>
      <c r="DR22" s="422"/>
      <c r="DS22" s="422"/>
      <c r="DT22" s="422"/>
      <c r="DU22" s="422"/>
      <c r="DV22" s="422"/>
      <c r="DW22" s="422"/>
      <c r="DX22" s="422"/>
      <c r="DY22" s="422"/>
      <c r="DZ22" s="422"/>
      <c r="EA22" s="422"/>
      <c r="EB22" s="422"/>
      <c r="EC22" s="422"/>
      <c r="ED22" s="422"/>
      <c r="EE22" s="422"/>
      <c r="EF22" s="422"/>
      <c r="EG22" s="422"/>
      <c r="EH22" s="422"/>
      <c r="EI22" s="422"/>
      <c r="EJ22" s="422"/>
      <c r="EK22" s="422"/>
      <c r="EL22" s="422"/>
      <c r="EM22" s="422"/>
      <c r="EN22" s="422"/>
      <c r="EO22" s="422"/>
      <c r="EP22" s="422"/>
      <c r="EQ22" s="422"/>
      <c r="ER22" s="422"/>
      <c r="ES22" s="422"/>
      <c r="ET22" s="422"/>
      <c r="EU22" s="422"/>
      <c r="EV22" s="422"/>
      <c r="EW22" s="422"/>
      <c r="EX22" s="422"/>
      <c r="EY22" s="422"/>
      <c r="EZ22" s="422"/>
      <c r="FA22" s="422"/>
      <c r="FB22" s="422"/>
      <c r="FC22" s="422"/>
      <c r="FD22" s="422"/>
      <c r="FE22" s="422"/>
      <c r="FF22" s="422"/>
      <c r="FG22" s="422"/>
      <c r="FH22" s="422"/>
      <c r="FI22" s="422"/>
      <c r="FJ22" s="422"/>
      <c r="FK22" s="422"/>
      <c r="FL22" s="422"/>
      <c r="FM22" s="422"/>
      <c r="FN22" s="422"/>
      <c r="FO22" s="422"/>
      <c r="FP22" s="422"/>
      <c r="FQ22" s="422"/>
      <c r="FR22" s="422"/>
      <c r="FS22" s="422"/>
      <c r="FT22" s="422"/>
      <c r="FU22" s="422"/>
      <c r="FV22" s="422"/>
      <c r="FW22" s="422"/>
      <c r="FX22" s="422"/>
      <c r="FY22" s="422"/>
      <c r="FZ22" s="422"/>
      <c r="GA22" s="422"/>
      <c r="GB22" s="422"/>
      <c r="GC22" s="422"/>
      <c r="GD22" s="422"/>
      <c r="GE22" s="422"/>
      <c r="GF22" s="422"/>
      <c r="GG22" s="422"/>
      <c r="GH22" s="422"/>
      <c r="GI22" s="422"/>
      <c r="GJ22" s="422"/>
      <c r="GK22" s="422"/>
      <c r="GL22" s="422"/>
      <c r="GM22" s="422"/>
      <c r="GN22" s="422"/>
      <c r="GO22" s="422"/>
      <c r="GP22" s="422"/>
      <c r="GQ22" s="422"/>
      <c r="GR22" s="422"/>
      <c r="GS22" s="422"/>
      <c r="GT22" s="422"/>
      <c r="GU22" s="422"/>
      <c r="GV22" s="422"/>
      <c r="GW22" s="422"/>
      <c r="GX22" s="422"/>
      <c r="GY22" s="422"/>
      <c r="GZ22" s="422"/>
      <c r="HA22" s="422"/>
      <c r="HB22" s="422"/>
      <c r="HC22" s="422"/>
      <c r="HD22" s="422"/>
      <c r="HE22" s="422"/>
      <c r="HF22" s="422"/>
      <c r="HG22" s="422"/>
      <c r="HH22" s="422"/>
      <c r="HI22" s="422"/>
      <c r="HJ22" s="422"/>
      <c r="HK22" s="422"/>
      <c r="HL22" s="422"/>
      <c r="HM22" s="422"/>
      <c r="HN22" s="422"/>
      <c r="HO22" s="422"/>
      <c r="HP22" s="422"/>
      <c r="HQ22" s="422"/>
      <c r="HR22" s="422"/>
      <c r="HS22" s="422"/>
      <c r="HT22" s="422"/>
      <c r="HU22" s="422"/>
      <c r="HV22" s="422"/>
      <c r="HW22" s="422"/>
      <c r="HX22" s="422"/>
      <c r="HY22" s="422"/>
      <c r="HZ22" s="422"/>
      <c r="IA22" s="422"/>
      <c r="IB22" s="422"/>
      <c r="IC22" s="422"/>
      <c r="ID22" s="422"/>
      <c r="IE22" s="422"/>
      <c r="IF22" s="422"/>
      <c r="IG22" s="422"/>
      <c r="IH22" s="422"/>
      <c r="II22" s="422"/>
      <c r="IJ22" s="422"/>
      <c r="IK22" s="422"/>
      <c r="IL22" s="422"/>
      <c r="IM22" s="15"/>
      <c r="IN22" s="15"/>
      <c r="IO22" s="15"/>
      <c r="IP22" s="15"/>
      <c r="IQ22" s="15"/>
      <c r="IR22" s="15"/>
      <c r="IS22" s="15"/>
      <c r="IT22" s="15"/>
    </row>
    <row r="23" spans="1:254" s="190" customFormat="1" ht="12.95" customHeight="1" x14ac:dyDescent="0.15">
      <c r="A23" s="185" t="s">
        <v>801</v>
      </c>
      <c r="B23" s="186" t="str">
        <f>キャラシート!C31&amp;"+"&amp;キャラシート!D31&amp;"D6"</f>
        <v>6+1D6</v>
      </c>
      <c r="C23" s="410" t="str">
        <f>IF(G18="反応型",IF(50&gt;F20,"+0",IF(60&gt;F20,"+1",IF(70&gt;F20,"+2",IF(F20&gt;=70,"+3")))),"活性補正")</f>
        <v>活性補正</v>
      </c>
      <c r="D23" s="187" t="s">
        <v>802</v>
      </c>
      <c r="E23" s="188" t="str">
        <f>キャラシート!G31&amp;"D6"&amp;"+"&amp;キャラシート!H31</f>
        <v>1D6+0</v>
      </c>
      <c r="F23" s="411" t="str">
        <f>IF(G18="増強型",IF(50&gt;F20,"+0",IF(60&gt;F20,"+1",IF(70&gt;F20,"+2",IF(F20&gt;=70,"+3")))),"活性補正")</f>
        <v>活性補正</v>
      </c>
      <c r="G23" s="412" t="s">
        <v>934</v>
      </c>
      <c r="H23" s="412"/>
      <c r="I23" s="413" t="s">
        <v>935</v>
      </c>
      <c r="J23" s="413"/>
      <c r="K23" s="413"/>
      <c r="L23" s="413"/>
      <c r="M23" s="189" t="s">
        <v>936</v>
      </c>
      <c r="N23" s="190" t="s">
        <v>926</v>
      </c>
      <c r="IL23" s="191"/>
      <c r="IM23" s="15"/>
      <c r="IN23" s="15"/>
      <c r="IO23" s="15"/>
      <c r="IP23" s="15"/>
      <c r="IQ23" s="15"/>
      <c r="IR23" s="15"/>
      <c r="IS23" s="15"/>
      <c r="IT23" s="15"/>
    </row>
    <row r="24" spans="1:254" s="201" customFormat="1" ht="12.95" customHeight="1" x14ac:dyDescent="0.15">
      <c r="A24" s="192" t="s">
        <v>885</v>
      </c>
      <c r="B24" s="193" t="str">
        <f>キャラシート!C33&amp;"+"&amp;キャラシート!D33&amp;"D6"</f>
        <v>10+1D6</v>
      </c>
      <c r="C24" s="410"/>
      <c r="D24" s="194" t="s">
        <v>807</v>
      </c>
      <c r="E24" s="195" t="str">
        <f>キャラシート!G33&amp;"D6"&amp;"+"&amp;キャラシート!H33</f>
        <v>3D6+0</v>
      </c>
      <c r="F24" s="411"/>
      <c r="G24" s="414" t="s">
        <v>937</v>
      </c>
      <c r="H24" s="414"/>
      <c r="I24" s="196" t="s">
        <v>938</v>
      </c>
      <c r="J24" s="197">
        <f>キャラシート!D17</f>
        <v>8</v>
      </c>
      <c r="K24" s="197" t="s">
        <v>939</v>
      </c>
      <c r="L24" s="198">
        <v>3</v>
      </c>
      <c r="M24" s="199" t="s">
        <v>936</v>
      </c>
      <c r="N24" s="200" t="s">
        <v>926</v>
      </c>
      <c r="O24" s="200"/>
      <c r="IL24" s="202"/>
      <c r="IM24" s="15"/>
      <c r="IN24" s="15"/>
      <c r="IO24" s="15"/>
      <c r="IP24" s="15"/>
      <c r="IQ24" s="15"/>
      <c r="IR24" s="15"/>
      <c r="IS24" s="15"/>
      <c r="IT24" s="15"/>
    </row>
    <row r="25" spans="1:254" s="208" customFormat="1" ht="12" customHeight="1" x14ac:dyDescent="0.15">
      <c r="A25" s="192" t="s">
        <v>886</v>
      </c>
      <c r="B25" s="193" t="str">
        <f>キャラシート!C35&amp;"+"&amp;キャラシート!D35&amp;"D6"</f>
        <v>11+1D6</v>
      </c>
      <c r="C25" s="410"/>
      <c r="D25" s="194" t="s">
        <v>813</v>
      </c>
      <c r="E25" s="195" t="str">
        <f>キャラシート!G35&amp;"D6"&amp;"+"&amp;キャラシート!H35</f>
        <v>2D6+0</v>
      </c>
      <c r="F25" s="411"/>
      <c r="G25" s="408" t="s">
        <v>940</v>
      </c>
      <c r="H25" s="408"/>
      <c r="I25" s="203"/>
      <c r="J25" s="204"/>
      <c r="K25" s="204"/>
      <c r="L25" s="205"/>
      <c r="M25" s="206" t="s">
        <v>941</v>
      </c>
      <c r="N25" s="207" t="s">
        <v>926</v>
      </c>
      <c r="O25" s="207"/>
      <c r="IL25" s="209"/>
      <c r="IM25" s="15"/>
      <c r="IN25" s="15"/>
      <c r="IO25" s="15"/>
      <c r="IP25" s="15"/>
      <c r="IQ25" s="15"/>
      <c r="IR25" s="15"/>
      <c r="IS25" s="15"/>
      <c r="IT25" s="15"/>
    </row>
    <row r="26" spans="1:254" s="208" customFormat="1" ht="12.95" customHeight="1" x14ac:dyDescent="0.15">
      <c r="A26" s="192" t="s">
        <v>363</v>
      </c>
      <c r="B26" s="210">
        <f>キャラシート!D23</f>
        <v>2</v>
      </c>
      <c r="C26" s="407" t="str">
        <f>IF(G18="増強型",IF(50&gt;F20,"+0",IF(60&gt;F20,"+1",IF(70&gt;F20,"+2",IF(F20&gt;=70,"+3")))),"活性補正")</f>
        <v>活性補正</v>
      </c>
      <c r="D26" s="194" t="s">
        <v>942</v>
      </c>
      <c r="E26" s="210">
        <f>キャラシート!H25</f>
        <v>6</v>
      </c>
      <c r="F26" s="211"/>
      <c r="G26" s="408" t="s">
        <v>943</v>
      </c>
      <c r="H26" s="408"/>
      <c r="I26" s="212" t="s">
        <v>944</v>
      </c>
      <c r="J26" s="213">
        <f>キャラシート!D19</f>
        <v>17</v>
      </c>
      <c r="K26" s="207" t="s">
        <v>945</v>
      </c>
      <c r="L26" s="214">
        <v>7</v>
      </c>
      <c r="M26" s="215" t="s">
        <v>941</v>
      </c>
      <c r="N26" s="207" t="s">
        <v>926</v>
      </c>
      <c r="O26" s="207"/>
      <c r="IL26" s="209"/>
      <c r="IM26" s="15"/>
      <c r="IN26" s="15"/>
      <c r="IO26" s="15"/>
      <c r="IP26" s="15"/>
      <c r="IQ26" s="15"/>
      <c r="IR26" s="15"/>
      <c r="IS26" s="15"/>
      <c r="IT26" s="15"/>
    </row>
    <row r="27" spans="1:254" s="222" customFormat="1" ht="12.95" customHeight="1" x14ac:dyDescent="0.15">
      <c r="A27" s="192" t="s">
        <v>946</v>
      </c>
      <c r="B27" s="210">
        <f>キャラシート!D25</f>
        <v>2</v>
      </c>
      <c r="C27" s="407"/>
      <c r="D27" s="194" t="s">
        <v>947</v>
      </c>
      <c r="E27" s="210">
        <f>キャラシート!H27</f>
        <v>2</v>
      </c>
      <c r="F27" s="216" t="str">
        <f>IF(G18="覚醒型",IF(50&gt;F20,"+0",IF(60&gt;F20,"+1",IF(70&gt;F20,"+2",IF(F20&gt;=70,"+3")))),"活性補正")</f>
        <v>活性補正</v>
      </c>
      <c r="G27" s="409" t="s">
        <v>948</v>
      </c>
      <c r="H27" s="409"/>
      <c r="I27" s="217" t="s">
        <v>949</v>
      </c>
      <c r="J27" s="218">
        <f>キャラシート!D21</f>
        <v>15</v>
      </c>
      <c r="K27" s="218" t="s">
        <v>950</v>
      </c>
      <c r="L27" s="219">
        <f>L26</f>
        <v>7</v>
      </c>
      <c r="M27" s="220" t="s">
        <v>936</v>
      </c>
      <c r="N27" s="221" t="s">
        <v>926</v>
      </c>
      <c r="O27" s="221"/>
      <c r="IL27" s="223"/>
      <c r="IM27" s="15"/>
      <c r="IN27" s="15"/>
      <c r="IO27" s="15"/>
      <c r="IP27" s="15"/>
      <c r="IQ27" s="15"/>
      <c r="IR27" s="15"/>
      <c r="IS27" s="15"/>
      <c r="IT27" s="15"/>
    </row>
    <row r="28" spans="1:254" s="15" customFormat="1" ht="12" customHeight="1" x14ac:dyDescent="0.15">
      <c r="A28" s="224" t="s">
        <v>34</v>
      </c>
      <c r="B28" s="225">
        <f>キャラシート!P15+キャラシート!Q15</f>
        <v>1</v>
      </c>
      <c r="C28" s="224" t="s">
        <v>136</v>
      </c>
      <c r="D28" s="225">
        <f>キャラシート!P17+キャラシート!Q17</f>
        <v>3</v>
      </c>
      <c r="E28" s="226" t="s">
        <v>209</v>
      </c>
      <c r="F28" s="225">
        <f>キャラシート!P19+キャラシート!Q19</f>
        <v>5</v>
      </c>
      <c r="G28" s="226" t="s">
        <v>287</v>
      </c>
      <c r="H28" s="225">
        <f>キャラシート!P21+キャラシート!Q21</f>
        <v>7</v>
      </c>
      <c r="I28" s="226" t="s">
        <v>348</v>
      </c>
      <c r="J28" s="225">
        <f>キャラシート!P23+キャラシート!Q23</f>
        <v>6</v>
      </c>
      <c r="K28" s="226" t="s">
        <v>402</v>
      </c>
      <c r="L28" s="227">
        <f>キャラシート!P25+キャラシート!Q25</f>
        <v>1</v>
      </c>
    </row>
    <row r="29" spans="1:254" s="15" customFormat="1" ht="12" customHeight="1" x14ac:dyDescent="0.15">
      <c r="A29" s="228" t="s">
        <v>92</v>
      </c>
      <c r="B29" s="229">
        <f>キャラシート!P16+キャラシート!Q16</f>
        <v>2</v>
      </c>
      <c r="C29" s="228" t="s">
        <v>171</v>
      </c>
      <c r="D29" s="229">
        <f>キャラシート!P18+キャラシート!Q18</f>
        <v>4</v>
      </c>
      <c r="E29" s="230" t="s">
        <v>248</v>
      </c>
      <c r="F29" s="229">
        <f>キャラシート!P20+キャラシート!Q20</f>
        <v>5</v>
      </c>
      <c r="G29" s="230" t="s">
        <v>320</v>
      </c>
      <c r="H29" s="229">
        <f>キャラシート!P22+キャラシート!Q22</f>
        <v>7</v>
      </c>
      <c r="I29" s="230" t="s">
        <v>375</v>
      </c>
      <c r="J29" s="229">
        <f>キャラシート!P24+キャラシート!Q24</f>
        <v>2</v>
      </c>
      <c r="K29" s="230" t="s">
        <v>298</v>
      </c>
      <c r="L29" s="231">
        <f>キャラシート!P26+キャラシート!Q26</f>
        <v>1</v>
      </c>
    </row>
    <row r="31" spans="1:254" s="174" customFormat="1" ht="12.95" customHeight="1" x14ac:dyDescent="0.15">
      <c r="A31" s="434" t="s">
        <v>711</v>
      </c>
      <c r="B31" s="434"/>
      <c r="C31" s="434"/>
      <c r="D31" s="434"/>
      <c r="E31" s="435" t="s">
        <v>712</v>
      </c>
      <c r="F31" s="435"/>
      <c r="G31" s="431" t="s">
        <v>1</v>
      </c>
      <c r="H31" s="431"/>
      <c r="I31" s="431" t="s">
        <v>930</v>
      </c>
      <c r="J31" s="431"/>
      <c r="K31" s="431"/>
      <c r="L31" s="431"/>
      <c r="M31" s="432" t="s">
        <v>925</v>
      </c>
      <c r="N31" s="433" t="s">
        <v>926</v>
      </c>
      <c r="O31" s="422"/>
      <c r="P31" s="422"/>
      <c r="Q31" s="422"/>
      <c r="R31" s="422"/>
      <c r="S31" s="422"/>
      <c r="T31" s="422"/>
      <c r="U31" s="422"/>
      <c r="V31" s="422"/>
      <c r="W31" s="422"/>
      <c r="X31" s="422"/>
      <c r="Y31" s="422"/>
      <c r="Z31" s="422"/>
      <c r="AA31" s="422"/>
      <c r="AB31" s="422"/>
      <c r="AC31" s="422"/>
      <c r="AD31" s="422"/>
      <c r="AE31" s="422"/>
      <c r="AF31" s="422"/>
      <c r="AG31" s="422"/>
      <c r="AH31" s="422"/>
      <c r="AI31" s="422"/>
      <c r="AJ31" s="422"/>
      <c r="AK31" s="422"/>
      <c r="AL31" s="422"/>
      <c r="AM31" s="422"/>
      <c r="AN31" s="422"/>
      <c r="AO31" s="422"/>
      <c r="AP31" s="422"/>
      <c r="AQ31" s="422"/>
      <c r="AR31" s="422"/>
      <c r="AS31" s="422"/>
      <c r="AT31" s="422"/>
      <c r="AU31" s="422"/>
      <c r="AV31" s="422"/>
      <c r="AW31" s="422"/>
      <c r="AX31" s="422"/>
      <c r="AY31" s="422"/>
      <c r="AZ31" s="422"/>
      <c r="BA31" s="422"/>
      <c r="BB31" s="422"/>
      <c r="BC31" s="422"/>
      <c r="BD31" s="422"/>
      <c r="BE31" s="422"/>
      <c r="BF31" s="422"/>
      <c r="BG31" s="422"/>
      <c r="BH31" s="422"/>
      <c r="BI31" s="422"/>
      <c r="BJ31" s="422"/>
      <c r="BK31" s="422"/>
      <c r="BL31" s="422"/>
      <c r="BM31" s="422"/>
      <c r="BN31" s="422"/>
      <c r="BO31" s="422"/>
      <c r="BP31" s="422"/>
      <c r="BQ31" s="422"/>
      <c r="BR31" s="422"/>
      <c r="BS31" s="422"/>
      <c r="BT31" s="422"/>
      <c r="BU31" s="422"/>
      <c r="BV31" s="422"/>
      <c r="BW31" s="422"/>
      <c r="BX31" s="422"/>
      <c r="BY31" s="422"/>
      <c r="BZ31" s="422"/>
      <c r="CA31" s="422"/>
      <c r="CB31" s="422"/>
      <c r="CC31" s="422"/>
      <c r="CD31" s="422"/>
      <c r="CE31" s="422"/>
      <c r="CF31" s="422"/>
      <c r="CG31" s="422"/>
      <c r="CH31" s="422"/>
      <c r="CI31" s="422"/>
      <c r="CJ31" s="422"/>
      <c r="CK31" s="422"/>
      <c r="CL31" s="422"/>
      <c r="CM31" s="422"/>
      <c r="CN31" s="422"/>
      <c r="CO31" s="422"/>
      <c r="CP31" s="422"/>
      <c r="CQ31" s="422"/>
      <c r="CR31" s="422"/>
      <c r="CS31" s="422"/>
      <c r="CT31" s="422"/>
      <c r="CU31" s="422"/>
      <c r="CV31" s="422"/>
      <c r="CW31" s="422"/>
      <c r="CX31" s="422"/>
      <c r="CY31" s="422"/>
      <c r="CZ31" s="422"/>
      <c r="DA31" s="422"/>
      <c r="DB31" s="422"/>
      <c r="DC31" s="422"/>
      <c r="DD31" s="422"/>
      <c r="DE31" s="422"/>
      <c r="DF31" s="422"/>
      <c r="DG31" s="422"/>
      <c r="DH31" s="422"/>
      <c r="DI31" s="422"/>
      <c r="DJ31" s="422"/>
      <c r="DK31" s="422"/>
      <c r="DL31" s="422"/>
      <c r="DM31" s="422"/>
      <c r="DN31" s="422"/>
      <c r="DO31" s="422"/>
      <c r="DP31" s="422"/>
      <c r="DQ31" s="422"/>
      <c r="DR31" s="422"/>
      <c r="DS31" s="422"/>
      <c r="DT31" s="422"/>
      <c r="DU31" s="422"/>
      <c r="DV31" s="422"/>
      <c r="DW31" s="422"/>
      <c r="DX31" s="422"/>
      <c r="DY31" s="422"/>
      <c r="DZ31" s="422"/>
      <c r="EA31" s="422"/>
      <c r="EB31" s="422"/>
      <c r="EC31" s="422"/>
      <c r="ED31" s="422"/>
      <c r="EE31" s="422"/>
      <c r="EF31" s="422"/>
      <c r="EG31" s="422"/>
      <c r="EH31" s="422"/>
      <c r="EI31" s="422"/>
      <c r="EJ31" s="422"/>
      <c r="EK31" s="422"/>
      <c r="EL31" s="422"/>
      <c r="EM31" s="422"/>
      <c r="EN31" s="422"/>
      <c r="EO31" s="422"/>
      <c r="EP31" s="422"/>
      <c r="EQ31" s="422"/>
      <c r="ER31" s="422"/>
      <c r="ES31" s="422"/>
      <c r="ET31" s="422"/>
      <c r="EU31" s="422"/>
      <c r="EV31" s="422"/>
      <c r="EW31" s="422"/>
      <c r="EX31" s="422"/>
      <c r="EY31" s="422"/>
      <c r="EZ31" s="422"/>
      <c r="FA31" s="422"/>
      <c r="FB31" s="422"/>
      <c r="FC31" s="422"/>
      <c r="FD31" s="422"/>
      <c r="FE31" s="422"/>
      <c r="FF31" s="422"/>
      <c r="FG31" s="422"/>
      <c r="FH31" s="422"/>
      <c r="FI31" s="422"/>
      <c r="FJ31" s="422"/>
      <c r="FK31" s="422"/>
      <c r="FL31" s="422"/>
      <c r="FM31" s="422"/>
      <c r="FN31" s="422"/>
      <c r="FO31" s="422"/>
      <c r="FP31" s="422"/>
      <c r="FQ31" s="422"/>
      <c r="FR31" s="422"/>
      <c r="FS31" s="422"/>
      <c r="FT31" s="422"/>
      <c r="FU31" s="422"/>
      <c r="FV31" s="422"/>
      <c r="FW31" s="422"/>
      <c r="FX31" s="422"/>
      <c r="FY31" s="422"/>
      <c r="FZ31" s="422"/>
      <c r="GA31" s="422"/>
      <c r="GB31" s="422"/>
      <c r="GC31" s="422"/>
      <c r="GD31" s="422"/>
      <c r="GE31" s="422"/>
      <c r="GF31" s="422"/>
      <c r="GG31" s="422"/>
      <c r="GH31" s="422"/>
      <c r="GI31" s="422"/>
      <c r="GJ31" s="422"/>
      <c r="GK31" s="422"/>
      <c r="GL31" s="422"/>
      <c r="GM31" s="422"/>
      <c r="GN31" s="422"/>
      <c r="GO31" s="422"/>
      <c r="GP31" s="422"/>
      <c r="GQ31" s="422"/>
      <c r="GR31" s="422"/>
      <c r="GS31" s="422"/>
      <c r="GT31" s="422"/>
      <c r="GU31" s="422"/>
      <c r="GV31" s="422"/>
      <c r="GW31" s="422"/>
      <c r="GX31" s="422"/>
      <c r="GY31" s="422"/>
      <c r="GZ31" s="422"/>
      <c r="HA31" s="422"/>
      <c r="HB31" s="422"/>
      <c r="HC31" s="422"/>
      <c r="HD31" s="422"/>
      <c r="HE31" s="422"/>
      <c r="HF31" s="422"/>
      <c r="HG31" s="422"/>
      <c r="HH31" s="422"/>
      <c r="HI31" s="422"/>
      <c r="HJ31" s="422"/>
      <c r="HK31" s="422"/>
      <c r="HL31" s="422"/>
      <c r="HM31" s="422"/>
      <c r="HN31" s="422"/>
      <c r="HO31" s="422"/>
      <c r="HP31" s="422"/>
      <c r="HQ31" s="422"/>
      <c r="HR31" s="422"/>
      <c r="HS31" s="422"/>
      <c r="HT31" s="422"/>
      <c r="HU31" s="422"/>
      <c r="HV31" s="422"/>
      <c r="HW31" s="422"/>
      <c r="HX31" s="422"/>
      <c r="HY31" s="422"/>
      <c r="HZ31" s="422"/>
      <c r="IA31" s="422"/>
      <c r="IB31" s="422"/>
      <c r="IC31" s="422"/>
      <c r="ID31" s="422"/>
      <c r="IE31" s="422"/>
      <c r="IF31" s="422"/>
      <c r="IG31" s="422"/>
      <c r="IH31" s="422"/>
      <c r="II31" s="422"/>
      <c r="IJ31" s="422"/>
      <c r="IK31" s="422"/>
      <c r="IL31" s="421"/>
      <c r="IM31" s="15"/>
      <c r="IN31" s="15"/>
      <c r="IO31" s="15"/>
      <c r="IP31" s="15"/>
      <c r="IQ31" s="15"/>
      <c r="IR31" s="15"/>
      <c r="IS31" s="15"/>
      <c r="IT31" s="15"/>
    </row>
    <row r="32" spans="1:254" s="174" customFormat="1" ht="12.95" customHeight="1" x14ac:dyDescent="0.15">
      <c r="A32" s="423"/>
      <c r="B32" s="423"/>
      <c r="C32" s="423"/>
      <c r="D32" s="423"/>
      <c r="E32" s="424"/>
      <c r="F32" s="424"/>
      <c r="G32" s="425" t="s">
        <v>19</v>
      </c>
      <c r="H32" s="425"/>
      <c r="I32" s="426"/>
      <c r="J32" s="426"/>
      <c r="K32" s="426"/>
      <c r="L32" s="426"/>
      <c r="M32" s="432"/>
      <c r="N32" s="433"/>
      <c r="O32" s="422"/>
      <c r="P32" s="422"/>
      <c r="Q32" s="422"/>
      <c r="R32" s="422"/>
      <c r="S32" s="422"/>
      <c r="T32" s="422"/>
      <c r="U32" s="422"/>
      <c r="V32" s="422"/>
      <c r="W32" s="422"/>
      <c r="X32" s="422"/>
      <c r="Y32" s="422"/>
      <c r="Z32" s="422"/>
      <c r="AA32" s="422"/>
      <c r="AB32" s="422"/>
      <c r="AC32" s="422"/>
      <c r="AD32" s="422"/>
      <c r="AE32" s="422"/>
      <c r="AF32" s="422"/>
      <c r="AG32" s="422"/>
      <c r="AH32" s="422"/>
      <c r="AI32" s="422"/>
      <c r="AJ32" s="422"/>
      <c r="AK32" s="422"/>
      <c r="AL32" s="422"/>
      <c r="AM32" s="422"/>
      <c r="AN32" s="422"/>
      <c r="AO32" s="422"/>
      <c r="AP32" s="422"/>
      <c r="AQ32" s="422"/>
      <c r="AR32" s="422"/>
      <c r="AS32" s="422"/>
      <c r="AT32" s="422"/>
      <c r="AU32" s="422"/>
      <c r="AV32" s="422"/>
      <c r="AW32" s="422"/>
      <c r="AX32" s="422"/>
      <c r="AY32" s="422"/>
      <c r="AZ32" s="422"/>
      <c r="BA32" s="422"/>
      <c r="BB32" s="422"/>
      <c r="BC32" s="422"/>
      <c r="BD32" s="422"/>
      <c r="BE32" s="422"/>
      <c r="BF32" s="422"/>
      <c r="BG32" s="422"/>
      <c r="BH32" s="422"/>
      <c r="BI32" s="422"/>
      <c r="BJ32" s="422"/>
      <c r="BK32" s="422"/>
      <c r="BL32" s="422"/>
      <c r="BM32" s="422"/>
      <c r="BN32" s="422"/>
      <c r="BO32" s="422"/>
      <c r="BP32" s="422"/>
      <c r="BQ32" s="422"/>
      <c r="BR32" s="422"/>
      <c r="BS32" s="422"/>
      <c r="BT32" s="422"/>
      <c r="BU32" s="422"/>
      <c r="BV32" s="422"/>
      <c r="BW32" s="422"/>
      <c r="BX32" s="422"/>
      <c r="BY32" s="422"/>
      <c r="BZ32" s="422"/>
      <c r="CA32" s="422"/>
      <c r="CB32" s="422"/>
      <c r="CC32" s="422"/>
      <c r="CD32" s="422"/>
      <c r="CE32" s="422"/>
      <c r="CF32" s="422"/>
      <c r="CG32" s="422"/>
      <c r="CH32" s="422"/>
      <c r="CI32" s="422"/>
      <c r="CJ32" s="422"/>
      <c r="CK32" s="422"/>
      <c r="CL32" s="422"/>
      <c r="CM32" s="422"/>
      <c r="CN32" s="422"/>
      <c r="CO32" s="422"/>
      <c r="CP32" s="422"/>
      <c r="CQ32" s="422"/>
      <c r="CR32" s="422"/>
      <c r="CS32" s="422"/>
      <c r="CT32" s="422"/>
      <c r="CU32" s="422"/>
      <c r="CV32" s="422"/>
      <c r="CW32" s="422"/>
      <c r="CX32" s="422"/>
      <c r="CY32" s="422"/>
      <c r="CZ32" s="422"/>
      <c r="DA32" s="422"/>
      <c r="DB32" s="422"/>
      <c r="DC32" s="422"/>
      <c r="DD32" s="422"/>
      <c r="DE32" s="422"/>
      <c r="DF32" s="422"/>
      <c r="DG32" s="422"/>
      <c r="DH32" s="422"/>
      <c r="DI32" s="422"/>
      <c r="DJ32" s="422"/>
      <c r="DK32" s="422"/>
      <c r="DL32" s="422"/>
      <c r="DM32" s="422"/>
      <c r="DN32" s="422"/>
      <c r="DO32" s="422"/>
      <c r="DP32" s="422"/>
      <c r="DQ32" s="422"/>
      <c r="DR32" s="422"/>
      <c r="DS32" s="422"/>
      <c r="DT32" s="422"/>
      <c r="DU32" s="422"/>
      <c r="DV32" s="422"/>
      <c r="DW32" s="422"/>
      <c r="DX32" s="422"/>
      <c r="DY32" s="422"/>
      <c r="DZ32" s="422"/>
      <c r="EA32" s="422"/>
      <c r="EB32" s="422"/>
      <c r="EC32" s="422"/>
      <c r="ED32" s="422"/>
      <c r="EE32" s="422"/>
      <c r="EF32" s="422"/>
      <c r="EG32" s="422"/>
      <c r="EH32" s="422"/>
      <c r="EI32" s="422"/>
      <c r="EJ32" s="422"/>
      <c r="EK32" s="422"/>
      <c r="EL32" s="422"/>
      <c r="EM32" s="422"/>
      <c r="EN32" s="422"/>
      <c r="EO32" s="422"/>
      <c r="EP32" s="422"/>
      <c r="EQ32" s="422"/>
      <c r="ER32" s="422"/>
      <c r="ES32" s="422"/>
      <c r="ET32" s="422"/>
      <c r="EU32" s="422"/>
      <c r="EV32" s="422"/>
      <c r="EW32" s="422"/>
      <c r="EX32" s="422"/>
      <c r="EY32" s="422"/>
      <c r="EZ32" s="422"/>
      <c r="FA32" s="422"/>
      <c r="FB32" s="422"/>
      <c r="FC32" s="422"/>
      <c r="FD32" s="422"/>
      <c r="FE32" s="422"/>
      <c r="FF32" s="422"/>
      <c r="FG32" s="422"/>
      <c r="FH32" s="422"/>
      <c r="FI32" s="422"/>
      <c r="FJ32" s="422"/>
      <c r="FK32" s="422"/>
      <c r="FL32" s="422"/>
      <c r="FM32" s="422"/>
      <c r="FN32" s="422"/>
      <c r="FO32" s="422"/>
      <c r="FP32" s="422"/>
      <c r="FQ32" s="422"/>
      <c r="FR32" s="422"/>
      <c r="FS32" s="422"/>
      <c r="FT32" s="422"/>
      <c r="FU32" s="422"/>
      <c r="FV32" s="422"/>
      <c r="FW32" s="422"/>
      <c r="FX32" s="422"/>
      <c r="FY32" s="422"/>
      <c r="FZ32" s="422"/>
      <c r="GA32" s="422"/>
      <c r="GB32" s="422"/>
      <c r="GC32" s="422"/>
      <c r="GD32" s="422"/>
      <c r="GE32" s="422"/>
      <c r="GF32" s="422"/>
      <c r="GG32" s="422"/>
      <c r="GH32" s="422"/>
      <c r="GI32" s="422"/>
      <c r="GJ32" s="422"/>
      <c r="GK32" s="422"/>
      <c r="GL32" s="422"/>
      <c r="GM32" s="422"/>
      <c r="GN32" s="422"/>
      <c r="GO32" s="422"/>
      <c r="GP32" s="422"/>
      <c r="GQ32" s="422"/>
      <c r="GR32" s="422"/>
      <c r="GS32" s="422"/>
      <c r="GT32" s="422"/>
      <c r="GU32" s="422"/>
      <c r="GV32" s="422"/>
      <c r="GW32" s="422"/>
      <c r="GX32" s="422"/>
      <c r="GY32" s="422"/>
      <c r="GZ32" s="422"/>
      <c r="HA32" s="422"/>
      <c r="HB32" s="422"/>
      <c r="HC32" s="422"/>
      <c r="HD32" s="422"/>
      <c r="HE32" s="422"/>
      <c r="HF32" s="422"/>
      <c r="HG32" s="422"/>
      <c r="HH32" s="422"/>
      <c r="HI32" s="422"/>
      <c r="HJ32" s="422"/>
      <c r="HK32" s="422"/>
      <c r="HL32" s="422"/>
      <c r="HM32" s="422"/>
      <c r="HN32" s="422"/>
      <c r="HO32" s="422"/>
      <c r="HP32" s="422"/>
      <c r="HQ32" s="422"/>
      <c r="HR32" s="422"/>
      <c r="HS32" s="422"/>
      <c r="HT32" s="422"/>
      <c r="HU32" s="422"/>
      <c r="HV32" s="422"/>
      <c r="HW32" s="422"/>
      <c r="HX32" s="422"/>
      <c r="HY32" s="422"/>
      <c r="HZ32" s="422"/>
      <c r="IA32" s="422"/>
      <c r="IB32" s="422"/>
      <c r="IC32" s="422"/>
      <c r="ID32" s="422"/>
      <c r="IE32" s="422"/>
      <c r="IF32" s="422"/>
      <c r="IG32" s="422"/>
      <c r="IH32" s="422"/>
      <c r="II32" s="422"/>
      <c r="IJ32" s="422"/>
      <c r="IK32" s="422"/>
      <c r="IL32" s="422"/>
      <c r="IM32" s="15"/>
      <c r="IN32" s="15"/>
      <c r="IO32" s="15"/>
      <c r="IP32" s="15"/>
      <c r="IQ32" s="15"/>
      <c r="IR32" s="15"/>
      <c r="IS32" s="15"/>
      <c r="IT32" s="15"/>
    </row>
    <row r="33" spans="1:254" s="174" customFormat="1" ht="12.95" customHeight="1" x14ac:dyDescent="0.15">
      <c r="A33" s="427" t="s">
        <v>931</v>
      </c>
      <c r="B33" s="427"/>
      <c r="C33" s="428" t="s">
        <v>772</v>
      </c>
      <c r="D33" s="428"/>
      <c r="E33" s="429" t="s">
        <v>778</v>
      </c>
      <c r="F33" s="429"/>
      <c r="G33" s="418" t="s">
        <v>4</v>
      </c>
      <c r="H33" s="418"/>
      <c r="I33" s="426"/>
      <c r="J33" s="426"/>
      <c r="K33" s="426"/>
      <c r="L33" s="426"/>
      <c r="M33" s="432"/>
      <c r="N33" s="433"/>
      <c r="O33" s="422"/>
      <c r="P33" s="422"/>
      <c r="Q33" s="422"/>
      <c r="R33" s="422"/>
      <c r="S33" s="422"/>
      <c r="T33" s="422"/>
      <c r="U33" s="422"/>
      <c r="V33" s="422"/>
      <c r="W33" s="422"/>
      <c r="X33" s="422"/>
      <c r="Y33" s="422"/>
      <c r="Z33" s="422"/>
      <c r="AA33" s="422"/>
      <c r="AB33" s="422"/>
      <c r="AC33" s="422"/>
      <c r="AD33" s="422"/>
      <c r="AE33" s="422"/>
      <c r="AF33" s="422"/>
      <c r="AG33" s="422"/>
      <c r="AH33" s="422"/>
      <c r="AI33" s="422"/>
      <c r="AJ33" s="422"/>
      <c r="AK33" s="422"/>
      <c r="AL33" s="422"/>
      <c r="AM33" s="422"/>
      <c r="AN33" s="422"/>
      <c r="AO33" s="422"/>
      <c r="AP33" s="422"/>
      <c r="AQ33" s="422"/>
      <c r="AR33" s="422"/>
      <c r="AS33" s="422"/>
      <c r="AT33" s="422"/>
      <c r="AU33" s="422"/>
      <c r="AV33" s="422"/>
      <c r="AW33" s="422"/>
      <c r="AX33" s="422"/>
      <c r="AY33" s="422"/>
      <c r="AZ33" s="422"/>
      <c r="BA33" s="422"/>
      <c r="BB33" s="422"/>
      <c r="BC33" s="422"/>
      <c r="BD33" s="422"/>
      <c r="BE33" s="422"/>
      <c r="BF33" s="422"/>
      <c r="BG33" s="422"/>
      <c r="BH33" s="422"/>
      <c r="BI33" s="422"/>
      <c r="BJ33" s="422"/>
      <c r="BK33" s="422"/>
      <c r="BL33" s="422"/>
      <c r="BM33" s="422"/>
      <c r="BN33" s="422"/>
      <c r="BO33" s="422"/>
      <c r="BP33" s="422"/>
      <c r="BQ33" s="422"/>
      <c r="BR33" s="422"/>
      <c r="BS33" s="422"/>
      <c r="BT33" s="422"/>
      <c r="BU33" s="422"/>
      <c r="BV33" s="422"/>
      <c r="BW33" s="422"/>
      <c r="BX33" s="422"/>
      <c r="BY33" s="422"/>
      <c r="BZ33" s="422"/>
      <c r="CA33" s="422"/>
      <c r="CB33" s="422"/>
      <c r="CC33" s="422"/>
      <c r="CD33" s="422"/>
      <c r="CE33" s="422"/>
      <c r="CF33" s="422"/>
      <c r="CG33" s="422"/>
      <c r="CH33" s="422"/>
      <c r="CI33" s="422"/>
      <c r="CJ33" s="422"/>
      <c r="CK33" s="422"/>
      <c r="CL33" s="422"/>
      <c r="CM33" s="422"/>
      <c r="CN33" s="422"/>
      <c r="CO33" s="422"/>
      <c r="CP33" s="422"/>
      <c r="CQ33" s="422"/>
      <c r="CR33" s="422"/>
      <c r="CS33" s="422"/>
      <c r="CT33" s="422"/>
      <c r="CU33" s="422"/>
      <c r="CV33" s="422"/>
      <c r="CW33" s="422"/>
      <c r="CX33" s="422"/>
      <c r="CY33" s="422"/>
      <c r="CZ33" s="422"/>
      <c r="DA33" s="422"/>
      <c r="DB33" s="422"/>
      <c r="DC33" s="422"/>
      <c r="DD33" s="422"/>
      <c r="DE33" s="422"/>
      <c r="DF33" s="422"/>
      <c r="DG33" s="422"/>
      <c r="DH33" s="422"/>
      <c r="DI33" s="422"/>
      <c r="DJ33" s="422"/>
      <c r="DK33" s="422"/>
      <c r="DL33" s="422"/>
      <c r="DM33" s="422"/>
      <c r="DN33" s="422"/>
      <c r="DO33" s="422"/>
      <c r="DP33" s="422"/>
      <c r="DQ33" s="422"/>
      <c r="DR33" s="422"/>
      <c r="DS33" s="422"/>
      <c r="DT33" s="422"/>
      <c r="DU33" s="422"/>
      <c r="DV33" s="422"/>
      <c r="DW33" s="422"/>
      <c r="DX33" s="422"/>
      <c r="DY33" s="422"/>
      <c r="DZ33" s="422"/>
      <c r="EA33" s="422"/>
      <c r="EB33" s="422"/>
      <c r="EC33" s="422"/>
      <c r="ED33" s="422"/>
      <c r="EE33" s="422"/>
      <c r="EF33" s="422"/>
      <c r="EG33" s="422"/>
      <c r="EH33" s="422"/>
      <c r="EI33" s="422"/>
      <c r="EJ33" s="422"/>
      <c r="EK33" s="422"/>
      <c r="EL33" s="422"/>
      <c r="EM33" s="422"/>
      <c r="EN33" s="422"/>
      <c r="EO33" s="422"/>
      <c r="EP33" s="422"/>
      <c r="EQ33" s="422"/>
      <c r="ER33" s="422"/>
      <c r="ES33" s="422"/>
      <c r="ET33" s="422"/>
      <c r="EU33" s="422"/>
      <c r="EV33" s="422"/>
      <c r="EW33" s="422"/>
      <c r="EX33" s="422"/>
      <c r="EY33" s="422"/>
      <c r="EZ33" s="422"/>
      <c r="FA33" s="422"/>
      <c r="FB33" s="422"/>
      <c r="FC33" s="422"/>
      <c r="FD33" s="422"/>
      <c r="FE33" s="422"/>
      <c r="FF33" s="422"/>
      <c r="FG33" s="422"/>
      <c r="FH33" s="422"/>
      <c r="FI33" s="422"/>
      <c r="FJ33" s="422"/>
      <c r="FK33" s="422"/>
      <c r="FL33" s="422"/>
      <c r="FM33" s="422"/>
      <c r="FN33" s="422"/>
      <c r="FO33" s="422"/>
      <c r="FP33" s="422"/>
      <c r="FQ33" s="422"/>
      <c r="FR33" s="422"/>
      <c r="FS33" s="422"/>
      <c r="FT33" s="422"/>
      <c r="FU33" s="422"/>
      <c r="FV33" s="422"/>
      <c r="FW33" s="422"/>
      <c r="FX33" s="422"/>
      <c r="FY33" s="422"/>
      <c r="FZ33" s="422"/>
      <c r="GA33" s="422"/>
      <c r="GB33" s="422"/>
      <c r="GC33" s="422"/>
      <c r="GD33" s="422"/>
      <c r="GE33" s="422"/>
      <c r="GF33" s="422"/>
      <c r="GG33" s="422"/>
      <c r="GH33" s="422"/>
      <c r="GI33" s="422"/>
      <c r="GJ33" s="422"/>
      <c r="GK33" s="422"/>
      <c r="GL33" s="422"/>
      <c r="GM33" s="422"/>
      <c r="GN33" s="422"/>
      <c r="GO33" s="422"/>
      <c r="GP33" s="422"/>
      <c r="GQ33" s="422"/>
      <c r="GR33" s="422"/>
      <c r="GS33" s="422"/>
      <c r="GT33" s="422"/>
      <c r="GU33" s="422"/>
      <c r="GV33" s="422"/>
      <c r="GW33" s="422"/>
      <c r="GX33" s="422"/>
      <c r="GY33" s="422"/>
      <c r="GZ33" s="422"/>
      <c r="HA33" s="422"/>
      <c r="HB33" s="422"/>
      <c r="HC33" s="422"/>
      <c r="HD33" s="422"/>
      <c r="HE33" s="422"/>
      <c r="HF33" s="422"/>
      <c r="HG33" s="422"/>
      <c r="HH33" s="422"/>
      <c r="HI33" s="422"/>
      <c r="HJ33" s="422"/>
      <c r="HK33" s="422"/>
      <c r="HL33" s="422"/>
      <c r="HM33" s="422"/>
      <c r="HN33" s="422"/>
      <c r="HO33" s="422"/>
      <c r="HP33" s="422"/>
      <c r="HQ33" s="422"/>
      <c r="HR33" s="422"/>
      <c r="HS33" s="422"/>
      <c r="HT33" s="422"/>
      <c r="HU33" s="422"/>
      <c r="HV33" s="422"/>
      <c r="HW33" s="422"/>
      <c r="HX33" s="422"/>
      <c r="HY33" s="422"/>
      <c r="HZ33" s="422"/>
      <c r="IA33" s="422"/>
      <c r="IB33" s="422"/>
      <c r="IC33" s="422"/>
      <c r="ID33" s="422"/>
      <c r="IE33" s="422"/>
      <c r="IF33" s="422"/>
      <c r="IG33" s="422"/>
      <c r="IH33" s="422"/>
      <c r="II33" s="422"/>
      <c r="IJ33" s="422"/>
      <c r="IK33" s="422"/>
      <c r="IL33" s="422"/>
      <c r="IM33" s="15"/>
      <c r="IN33" s="15"/>
      <c r="IO33" s="15"/>
      <c r="IP33" s="15"/>
      <c r="IQ33" s="15"/>
      <c r="IR33" s="15"/>
      <c r="IS33" s="15"/>
      <c r="IT33" s="15"/>
    </row>
    <row r="34" spans="1:254" s="174" customFormat="1" ht="12.95" customHeight="1" x14ac:dyDescent="0.15">
      <c r="A34" s="175">
        <f>B34+SUM(O38:IL38)</f>
        <v>0</v>
      </c>
      <c r="B34" s="176">
        <f>J38+L38</f>
        <v>0</v>
      </c>
      <c r="C34" s="177">
        <f>D34-SUM(O39:IL39)+SUM(O40:IL40)</f>
        <v>0</v>
      </c>
      <c r="D34" s="178">
        <f>J40+L40</f>
        <v>0</v>
      </c>
      <c r="E34" s="179">
        <f>J41+L41</f>
        <v>0</v>
      </c>
      <c r="F34" s="180">
        <f>E34+SUM(O41:IL41)</f>
        <v>0</v>
      </c>
      <c r="G34" s="430" t="s">
        <v>19</v>
      </c>
      <c r="H34" s="430"/>
      <c r="I34" s="426"/>
      <c r="J34" s="426"/>
      <c r="K34" s="426"/>
      <c r="L34" s="426"/>
      <c r="M34" s="432"/>
      <c r="N34" s="432"/>
      <c r="O34" s="422"/>
      <c r="P34" s="422"/>
      <c r="Q34" s="422"/>
      <c r="R34" s="422"/>
      <c r="S34" s="422"/>
      <c r="T34" s="422"/>
      <c r="U34" s="422"/>
      <c r="V34" s="422"/>
      <c r="W34" s="422"/>
      <c r="X34" s="422"/>
      <c r="Y34" s="422"/>
      <c r="Z34" s="422"/>
      <c r="AA34" s="422"/>
      <c r="AB34" s="422"/>
      <c r="AC34" s="422"/>
      <c r="AD34" s="422"/>
      <c r="AE34" s="422"/>
      <c r="AF34" s="422"/>
      <c r="AG34" s="422"/>
      <c r="AH34" s="422"/>
      <c r="AI34" s="422"/>
      <c r="AJ34" s="422"/>
      <c r="AK34" s="422"/>
      <c r="AL34" s="422"/>
      <c r="AM34" s="422"/>
      <c r="AN34" s="422"/>
      <c r="AO34" s="422"/>
      <c r="AP34" s="422"/>
      <c r="AQ34" s="422"/>
      <c r="AR34" s="422"/>
      <c r="AS34" s="422"/>
      <c r="AT34" s="422"/>
      <c r="AU34" s="422"/>
      <c r="AV34" s="422"/>
      <c r="AW34" s="422"/>
      <c r="AX34" s="422"/>
      <c r="AY34" s="422"/>
      <c r="AZ34" s="422"/>
      <c r="BA34" s="422"/>
      <c r="BB34" s="422"/>
      <c r="BC34" s="422"/>
      <c r="BD34" s="422"/>
      <c r="BE34" s="422"/>
      <c r="BF34" s="422"/>
      <c r="BG34" s="422"/>
      <c r="BH34" s="422"/>
      <c r="BI34" s="422"/>
      <c r="BJ34" s="422"/>
      <c r="BK34" s="422"/>
      <c r="BL34" s="422"/>
      <c r="BM34" s="422"/>
      <c r="BN34" s="422"/>
      <c r="BO34" s="422"/>
      <c r="BP34" s="422"/>
      <c r="BQ34" s="422"/>
      <c r="BR34" s="422"/>
      <c r="BS34" s="422"/>
      <c r="BT34" s="422"/>
      <c r="BU34" s="422"/>
      <c r="BV34" s="422"/>
      <c r="BW34" s="422"/>
      <c r="BX34" s="422"/>
      <c r="BY34" s="422"/>
      <c r="BZ34" s="422"/>
      <c r="CA34" s="422"/>
      <c r="CB34" s="422"/>
      <c r="CC34" s="422"/>
      <c r="CD34" s="422"/>
      <c r="CE34" s="422"/>
      <c r="CF34" s="422"/>
      <c r="CG34" s="422"/>
      <c r="CH34" s="422"/>
      <c r="CI34" s="422"/>
      <c r="CJ34" s="422"/>
      <c r="CK34" s="422"/>
      <c r="CL34" s="422"/>
      <c r="CM34" s="422"/>
      <c r="CN34" s="422"/>
      <c r="CO34" s="422"/>
      <c r="CP34" s="422"/>
      <c r="CQ34" s="422"/>
      <c r="CR34" s="422"/>
      <c r="CS34" s="422"/>
      <c r="CT34" s="422"/>
      <c r="CU34" s="422"/>
      <c r="CV34" s="422"/>
      <c r="CW34" s="422"/>
      <c r="CX34" s="422"/>
      <c r="CY34" s="422"/>
      <c r="CZ34" s="422"/>
      <c r="DA34" s="422"/>
      <c r="DB34" s="422"/>
      <c r="DC34" s="422"/>
      <c r="DD34" s="422"/>
      <c r="DE34" s="422"/>
      <c r="DF34" s="422"/>
      <c r="DG34" s="422"/>
      <c r="DH34" s="422"/>
      <c r="DI34" s="422"/>
      <c r="DJ34" s="422"/>
      <c r="DK34" s="422"/>
      <c r="DL34" s="422"/>
      <c r="DM34" s="422"/>
      <c r="DN34" s="422"/>
      <c r="DO34" s="422"/>
      <c r="DP34" s="422"/>
      <c r="DQ34" s="422"/>
      <c r="DR34" s="422"/>
      <c r="DS34" s="422"/>
      <c r="DT34" s="422"/>
      <c r="DU34" s="422"/>
      <c r="DV34" s="422"/>
      <c r="DW34" s="422"/>
      <c r="DX34" s="422"/>
      <c r="DY34" s="422"/>
      <c r="DZ34" s="422"/>
      <c r="EA34" s="422"/>
      <c r="EB34" s="422"/>
      <c r="EC34" s="422"/>
      <c r="ED34" s="422"/>
      <c r="EE34" s="422"/>
      <c r="EF34" s="422"/>
      <c r="EG34" s="422"/>
      <c r="EH34" s="422"/>
      <c r="EI34" s="422"/>
      <c r="EJ34" s="422"/>
      <c r="EK34" s="422"/>
      <c r="EL34" s="422"/>
      <c r="EM34" s="422"/>
      <c r="EN34" s="422"/>
      <c r="EO34" s="422"/>
      <c r="EP34" s="422"/>
      <c r="EQ34" s="422"/>
      <c r="ER34" s="422"/>
      <c r="ES34" s="422"/>
      <c r="ET34" s="422"/>
      <c r="EU34" s="422"/>
      <c r="EV34" s="422"/>
      <c r="EW34" s="422"/>
      <c r="EX34" s="422"/>
      <c r="EY34" s="422"/>
      <c r="EZ34" s="422"/>
      <c r="FA34" s="422"/>
      <c r="FB34" s="422"/>
      <c r="FC34" s="422"/>
      <c r="FD34" s="422"/>
      <c r="FE34" s="422"/>
      <c r="FF34" s="422"/>
      <c r="FG34" s="422"/>
      <c r="FH34" s="422"/>
      <c r="FI34" s="422"/>
      <c r="FJ34" s="422"/>
      <c r="FK34" s="422"/>
      <c r="FL34" s="422"/>
      <c r="FM34" s="422"/>
      <c r="FN34" s="422"/>
      <c r="FO34" s="422"/>
      <c r="FP34" s="422"/>
      <c r="FQ34" s="422"/>
      <c r="FR34" s="422"/>
      <c r="FS34" s="422"/>
      <c r="FT34" s="422"/>
      <c r="FU34" s="422"/>
      <c r="FV34" s="422"/>
      <c r="FW34" s="422"/>
      <c r="FX34" s="422"/>
      <c r="FY34" s="422"/>
      <c r="FZ34" s="422"/>
      <c r="GA34" s="422"/>
      <c r="GB34" s="422"/>
      <c r="GC34" s="422"/>
      <c r="GD34" s="422"/>
      <c r="GE34" s="422"/>
      <c r="GF34" s="422"/>
      <c r="GG34" s="422"/>
      <c r="GH34" s="422"/>
      <c r="GI34" s="422"/>
      <c r="GJ34" s="422"/>
      <c r="GK34" s="422"/>
      <c r="GL34" s="422"/>
      <c r="GM34" s="422"/>
      <c r="GN34" s="422"/>
      <c r="GO34" s="422"/>
      <c r="GP34" s="422"/>
      <c r="GQ34" s="422"/>
      <c r="GR34" s="422"/>
      <c r="GS34" s="422"/>
      <c r="GT34" s="422"/>
      <c r="GU34" s="422"/>
      <c r="GV34" s="422"/>
      <c r="GW34" s="422"/>
      <c r="GX34" s="422"/>
      <c r="GY34" s="422"/>
      <c r="GZ34" s="422"/>
      <c r="HA34" s="422"/>
      <c r="HB34" s="422"/>
      <c r="HC34" s="422"/>
      <c r="HD34" s="422"/>
      <c r="HE34" s="422"/>
      <c r="HF34" s="422"/>
      <c r="HG34" s="422"/>
      <c r="HH34" s="422"/>
      <c r="HI34" s="422"/>
      <c r="HJ34" s="422"/>
      <c r="HK34" s="422"/>
      <c r="HL34" s="422"/>
      <c r="HM34" s="422"/>
      <c r="HN34" s="422"/>
      <c r="HO34" s="422"/>
      <c r="HP34" s="422"/>
      <c r="HQ34" s="422"/>
      <c r="HR34" s="422"/>
      <c r="HS34" s="422"/>
      <c r="HT34" s="422"/>
      <c r="HU34" s="422"/>
      <c r="HV34" s="422"/>
      <c r="HW34" s="422"/>
      <c r="HX34" s="422"/>
      <c r="HY34" s="422"/>
      <c r="HZ34" s="422"/>
      <c r="IA34" s="422"/>
      <c r="IB34" s="422"/>
      <c r="IC34" s="422"/>
      <c r="ID34" s="422"/>
      <c r="IE34" s="422"/>
      <c r="IF34" s="422"/>
      <c r="IG34" s="422"/>
      <c r="IH34" s="422"/>
      <c r="II34" s="422"/>
      <c r="IJ34" s="422"/>
      <c r="IK34" s="422"/>
      <c r="IL34" s="422"/>
      <c r="IM34" s="15"/>
      <c r="IN34" s="15"/>
      <c r="IO34" s="15"/>
      <c r="IP34" s="15"/>
      <c r="IQ34" s="15"/>
      <c r="IR34" s="15"/>
      <c r="IS34" s="15"/>
      <c r="IT34" s="15"/>
    </row>
    <row r="35" spans="1:254" s="174" customFormat="1" ht="12" customHeight="1" x14ac:dyDescent="0.15">
      <c r="A35" s="415" t="s">
        <v>793</v>
      </c>
      <c r="B35" s="416"/>
      <c r="C35" s="181" t="s">
        <v>932</v>
      </c>
      <c r="D35" s="182" t="s">
        <v>933</v>
      </c>
      <c r="E35" s="417" t="str">
        <f>IF(F34&lt;100,IF(F34&lt;50,"通常状態",IF(F34&lt;60,"暴走Lv1 ",IF(F34&lt;70,"暴走Lv2",IF(F34&lt;80,"暴走Lv3",IF(F34&lt;90,"暴走Lv4","暴走Lv5"))))),IF(F34&lt;110,"臨界Lv1",IF(F34&lt;120,"臨界Lv2",IF(F34&lt;130,"臨界Lv3",IF(F34&lt;140,"臨界Lv4",IF(F34&lt;150,"臨界Lv5",IF(F34&lt;150,"活性Lv5","因子崩壊")))))))</f>
        <v>通常状態</v>
      </c>
      <c r="F35" s="417"/>
      <c r="G35" s="418" t="s">
        <v>15</v>
      </c>
      <c r="H35" s="418"/>
      <c r="I35" s="426"/>
      <c r="J35" s="426"/>
      <c r="K35" s="426"/>
      <c r="L35" s="426"/>
      <c r="M35" s="432"/>
      <c r="N35" s="432"/>
      <c r="O35" s="422"/>
      <c r="P35" s="422"/>
      <c r="Q35" s="422"/>
      <c r="R35" s="422"/>
      <c r="S35" s="422"/>
      <c r="T35" s="422"/>
      <c r="U35" s="422"/>
      <c r="V35" s="422"/>
      <c r="W35" s="422"/>
      <c r="X35" s="422"/>
      <c r="Y35" s="422"/>
      <c r="Z35" s="422"/>
      <c r="AA35" s="422"/>
      <c r="AB35" s="422"/>
      <c r="AC35" s="422"/>
      <c r="AD35" s="422"/>
      <c r="AE35" s="422"/>
      <c r="AF35" s="422"/>
      <c r="AG35" s="422"/>
      <c r="AH35" s="422"/>
      <c r="AI35" s="422"/>
      <c r="AJ35" s="422"/>
      <c r="AK35" s="422"/>
      <c r="AL35" s="422"/>
      <c r="AM35" s="422"/>
      <c r="AN35" s="422"/>
      <c r="AO35" s="422"/>
      <c r="AP35" s="422"/>
      <c r="AQ35" s="422"/>
      <c r="AR35" s="422"/>
      <c r="AS35" s="422"/>
      <c r="AT35" s="422"/>
      <c r="AU35" s="422"/>
      <c r="AV35" s="422"/>
      <c r="AW35" s="422"/>
      <c r="AX35" s="422"/>
      <c r="AY35" s="422"/>
      <c r="AZ35" s="422"/>
      <c r="BA35" s="422"/>
      <c r="BB35" s="422"/>
      <c r="BC35" s="422"/>
      <c r="BD35" s="422"/>
      <c r="BE35" s="422"/>
      <c r="BF35" s="422"/>
      <c r="BG35" s="422"/>
      <c r="BH35" s="422"/>
      <c r="BI35" s="422"/>
      <c r="BJ35" s="422"/>
      <c r="BK35" s="422"/>
      <c r="BL35" s="422"/>
      <c r="BM35" s="422"/>
      <c r="BN35" s="422"/>
      <c r="BO35" s="422"/>
      <c r="BP35" s="422"/>
      <c r="BQ35" s="422"/>
      <c r="BR35" s="422"/>
      <c r="BS35" s="422"/>
      <c r="BT35" s="422"/>
      <c r="BU35" s="422"/>
      <c r="BV35" s="422"/>
      <c r="BW35" s="422"/>
      <c r="BX35" s="422"/>
      <c r="BY35" s="422"/>
      <c r="BZ35" s="422"/>
      <c r="CA35" s="422"/>
      <c r="CB35" s="422"/>
      <c r="CC35" s="422"/>
      <c r="CD35" s="422"/>
      <c r="CE35" s="422"/>
      <c r="CF35" s="422"/>
      <c r="CG35" s="422"/>
      <c r="CH35" s="422"/>
      <c r="CI35" s="422"/>
      <c r="CJ35" s="422"/>
      <c r="CK35" s="422"/>
      <c r="CL35" s="422"/>
      <c r="CM35" s="422"/>
      <c r="CN35" s="422"/>
      <c r="CO35" s="422"/>
      <c r="CP35" s="422"/>
      <c r="CQ35" s="422"/>
      <c r="CR35" s="422"/>
      <c r="CS35" s="422"/>
      <c r="CT35" s="422"/>
      <c r="CU35" s="422"/>
      <c r="CV35" s="422"/>
      <c r="CW35" s="422"/>
      <c r="CX35" s="422"/>
      <c r="CY35" s="422"/>
      <c r="CZ35" s="422"/>
      <c r="DA35" s="422"/>
      <c r="DB35" s="422"/>
      <c r="DC35" s="422"/>
      <c r="DD35" s="422"/>
      <c r="DE35" s="422"/>
      <c r="DF35" s="422"/>
      <c r="DG35" s="422"/>
      <c r="DH35" s="422"/>
      <c r="DI35" s="422"/>
      <c r="DJ35" s="422"/>
      <c r="DK35" s="422"/>
      <c r="DL35" s="422"/>
      <c r="DM35" s="422"/>
      <c r="DN35" s="422"/>
      <c r="DO35" s="422"/>
      <c r="DP35" s="422"/>
      <c r="DQ35" s="422"/>
      <c r="DR35" s="422"/>
      <c r="DS35" s="422"/>
      <c r="DT35" s="422"/>
      <c r="DU35" s="422"/>
      <c r="DV35" s="422"/>
      <c r="DW35" s="422"/>
      <c r="DX35" s="422"/>
      <c r="DY35" s="422"/>
      <c r="DZ35" s="422"/>
      <c r="EA35" s="422"/>
      <c r="EB35" s="422"/>
      <c r="EC35" s="422"/>
      <c r="ED35" s="422"/>
      <c r="EE35" s="422"/>
      <c r="EF35" s="422"/>
      <c r="EG35" s="422"/>
      <c r="EH35" s="422"/>
      <c r="EI35" s="422"/>
      <c r="EJ35" s="422"/>
      <c r="EK35" s="422"/>
      <c r="EL35" s="422"/>
      <c r="EM35" s="422"/>
      <c r="EN35" s="422"/>
      <c r="EO35" s="422"/>
      <c r="EP35" s="422"/>
      <c r="EQ35" s="422"/>
      <c r="ER35" s="422"/>
      <c r="ES35" s="422"/>
      <c r="ET35" s="422"/>
      <c r="EU35" s="422"/>
      <c r="EV35" s="422"/>
      <c r="EW35" s="422"/>
      <c r="EX35" s="422"/>
      <c r="EY35" s="422"/>
      <c r="EZ35" s="422"/>
      <c r="FA35" s="422"/>
      <c r="FB35" s="422"/>
      <c r="FC35" s="422"/>
      <c r="FD35" s="422"/>
      <c r="FE35" s="422"/>
      <c r="FF35" s="422"/>
      <c r="FG35" s="422"/>
      <c r="FH35" s="422"/>
      <c r="FI35" s="422"/>
      <c r="FJ35" s="422"/>
      <c r="FK35" s="422"/>
      <c r="FL35" s="422"/>
      <c r="FM35" s="422"/>
      <c r="FN35" s="422"/>
      <c r="FO35" s="422"/>
      <c r="FP35" s="422"/>
      <c r="FQ35" s="422"/>
      <c r="FR35" s="422"/>
      <c r="FS35" s="422"/>
      <c r="FT35" s="422"/>
      <c r="FU35" s="422"/>
      <c r="FV35" s="422"/>
      <c r="FW35" s="422"/>
      <c r="FX35" s="422"/>
      <c r="FY35" s="422"/>
      <c r="FZ35" s="422"/>
      <c r="GA35" s="422"/>
      <c r="GB35" s="422"/>
      <c r="GC35" s="422"/>
      <c r="GD35" s="422"/>
      <c r="GE35" s="422"/>
      <c r="GF35" s="422"/>
      <c r="GG35" s="422"/>
      <c r="GH35" s="422"/>
      <c r="GI35" s="422"/>
      <c r="GJ35" s="422"/>
      <c r="GK35" s="422"/>
      <c r="GL35" s="422"/>
      <c r="GM35" s="422"/>
      <c r="GN35" s="422"/>
      <c r="GO35" s="422"/>
      <c r="GP35" s="422"/>
      <c r="GQ35" s="422"/>
      <c r="GR35" s="422"/>
      <c r="GS35" s="422"/>
      <c r="GT35" s="422"/>
      <c r="GU35" s="422"/>
      <c r="GV35" s="422"/>
      <c r="GW35" s="422"/>
      <c r="GX35" s="422"/>
      <c r="GY35" s="422"/>
      <c r="GZ35" s="422"/>
      <c r="HA35" s="422"/>
      <c r="HB35" s="422"/>
      <c r="HC35" s="422"/>
      <c r="HD35" s="422"/>
      <c r="HE35" s="422"/>
      <c r="HF35" s="422"/>
      <c r="HG35" s="422"/>
      <c r="HH35" s="422"/>
      <c r="HI35" s="422"/>
      <c r="HJ35" s="422"/>
      <c r="HK35" s="422"/>
      <c r="HL35" s="422"/>
      <c r="HM35" s="422"/>
      <c r="HN35" s="422"/>
      <c r="HO35" s="422"/>
      <c r="HP35" s="422"/>
      <c r="HQ35" s="422"/>
      <c r="HR35" s="422"/>
      <c r="HS35" s="422"/>
      <c r="HT35" s="422"/>
      <c r="HU35" s="422"/>
      <c r="HV35" s="422"/>
      <c r="HW35" s="422"/>
      <c r="HX35" s="422"/>
      <c r="HY35" s="422"/>
      <c r="HZ35" s="422"/>
      <c r="IA35" s="422"/>
      <c r="IB35" s="422"/>
      <c r="IC35" s="422"/>
      <c r="ID35" s="422"/>
      <c r="IE35" s="422"/>
      <c r="IF35" s="422"/>
      <c r="IG35" s="422"/>
      <c r="IH35" s="422"/>
      <c r="II35" s="422"/>
      <c r="IJ35" s="422"/>
      <c r="IK35" s="422"/>
      <c r="IL35" s="422"/>
      <c r="IM35" s="15"/>
      <c r="IN35" s="15"/>
      <c r="IO35" s="15"/>
      <c r="IP35" s="15"/>
      <c r="IQ35" s="15"/>
      <c r="IR35" s="15"/>
      <c r="IS35" s="15"/>
      <c r="IT35" s="15"/>
    </row>
    <row r="36" spans="1:254" s="174" customFormat="1" ht="12.95" customHeight="1" x14ac:dyDescent="0.15">
      <c r="A36" s="415"/>
      <c r="B36" s="416"/>
      <c r="C36" s="183">
        <f>SUM(L39:IQ39)</f>
        <v>0</v>
      </c>
      <c r="D36" s="184">
        <f>ROUNDDOWN((C36/5),0)+SUM(I37:IL37)</f>
        <v>0</v>
      </c>
      <c r="E36" s="419" t="str">
        <f>IF(F34&lt;50,"未活性",IF(F34&lt;60,"活性Lv1",IF(F34&lt;70,"活性Lv2",IF(F34&lt;80,"活性Lv3",IF(F34&lt;90,"活性Lv4",IF(F34&lt;100,"活性Lv5",IF(F34&lt;150,"活性Lv5","強制キャラロスト")))))))</f>
        <v>未活性</v>
      </c>
      <c r="F36" s="419"/>
      <c r="G36" s="420" t="s">
        <v>19</v>
      </c>
      <c r="H36" s="420"/>
      <c r="I36" s="426"/>
      <c r="J36" s="426"/>
      <c r="K36" s="426"/>
      <c r="L36" s="426"/>
      <c r="M36" s="432"/>
      <c r="N36" s="432"/>
      <c r="O36" s="422"/>
      <c r="P36" s="422"/>
      <c r="Q36" s="422"/>
      <c r="R36" s="422"/>
      <c r="S36" s="422"/>
      <c r="T36" s="422"/>
      <c r="U36" s="422"/>
      <c r="V36" s="422"/>
      <c r="W36" s="422"/>
      <c r="X36" s="422"/>
      <c r="Y36" s="422"/>
      <c r="Z36" s="422"/>
      <c r="AA36" s="422"/>
      <c r="AB36" s="422"/>
      <c r="AC36" s="422"/>
      <c r="AD36" s="422"/>
      <c r="AE36" s="422"/>
      <c r="AF36" s="422"/>
      <c r="AG36" s="422"/>
      <c r="AH36" s="422"/>
      <c r="AI36" s="422"/>
      <c r="AJ36" s="422"/>
      <c r="AK36" s="422"/>
      <c r="AL36" s="422"/>
      <c r="AM36" s="422"/>
      <c r="AN36" s="422"/>
      <c r="AO36" s="422"/>
      <c r="AP36" s="422"/>
      <c r="AQ36" s="422"/>
      <c r="AR36" s="422"/>
      <c r="AS36" s="422"/>
      <c r="AT36" s="422"/>
      <c r="AU36" s="422"/>
      <c r="AV36" s="422"/>
      <c r="AW36" s="422"/>
      <c r="AX36" s="422"/>
      <c r="AY36" s="422"/>
      <c r="AZ36" s="422"/>
      <c r="BA36" s="422"/>
      <c r="BB36" s="422"/>
      <c r="BC36" s="422"/>
      <c r="BD36" s="422"/>
      <c r="BE36" s="422"/>
      <c r="BF36" s="422"/>
      <c r="BG36" s="422"/>
      <c r="BH36" s="422"/>
      <c r="BI36" s="422"/>
      <c r="BJ36" s="422"/>
      <c r="BK36" s="422"/>
      <c r="BL36" s="422"/>
      <c r="BM36" s="422"/>
      <c r="BN36" s="422"/>
      <c r="BO36" s="422"/>
      <c r="BP36" s="422"/>
      <c r="BQ36" s="422"/>
      <c r="BR36" s="422"/>
      <c r="BS36" s="422"/>
      <c r="BT36" s="422"/>
      <c r="BU36" s="422"/>
      <c r="BV36" s="422"/>
      <c r="BW36" s="422"/>
      <c r="BX36" s="422"/>
      <c r="BY36" s="422"/>
      <c r="BZ36" s="422"/>
      <c r="CA36" s="422"/>
      <c r="CB36" s="422"/>
      <c r="CC36" s="422"/>
      <c r="CD36" s="422"/>
      <c r="CE36" s="422"/>
      <c r="CF36" s="422"/>
      <c r="CG36" s="422"/>
      <c r="CH36" s="422"/>
      <c r="CI36" s="422"/>
      <c r="CJ36" s="422"/>
      <c r="CK36" s="422"/>
      <c r="CL36" s="422"/>
      <c r="CM36" s="422"/>
      <c r="CN36" s="422"/>
      <c r="CO36" s="422"/>
      <c r="CP36" s="422"/>
      <c r="CQ36" s="422"/>
      <c r="CR36" s="422"/>
      <c r="CS36" s="422"/>
      <c r="CT36" s="422"/>
      <c r="CU36" s="422"/>
      <c r="CV36" s="422"/>
      <c r="CW36" s="422"/>
      <c r="CX36" s="422"/>
      <c r="CY36" s="422"/>
      <c r="CZ36" s="422"/>
      <c r="DA36" s="422"/>
      <c r="DB36" s="422"/>
      <c r="DC36" s="422"/>
      <c r="DD36" s="422"/>
      <c r="DE36" s="422"/>
      <c r="DF36" s="422"/>
      <c r="DG36" s="422"/>
      <c r="DH36" s="422"/>
      <c r="DI36" s="422"/>
      <c r="DJ36" s="422"/>
      <c r="DK36" s="422"/>
      <c r="DL36" s="422"/>
      <c r="DM36" s="422"/>
      <c r="DN36" s="422"/>
      <c r="DO36" s="422"/>
      <c r="DP36" s="422"/>
      <c r="DQ36" s="422"/>
      <c r="DR36" s="422"/>
      <c r="DS36" s="422"/>
      <c r="DT36" s="422"/>
      <c r="DU36" s="422"/>
      <c r="DV36" s="422"/>
      <c r="DW36" s="422"/>
      <c r="DX36" s="422"/>
      <c r="DY36" s="422"/>
      <c r="DZ36" s="422"/>
      <c r="EA36" s="422"/>
      <c r="EB36" s="422"/>
      <c r="EC36" s="422"/>
      <c r="ED36" s="422"/>
      <c r="EE36" s="422"/>
      <c r="EF36" s="422"/>
      <c r="EG36" s="422"/>
      <c r="EH36" s="422"/>
      <c r="EI36" s="422"/>
      <c r="EJ36" s="422"/>
      <c r="EK36" s="422"/>
      <c r="EL36" s="422"/>
      <c r="EM36" s="422"/>
      <c r="EN36" s="422"/>
      <c r="EO36" s="422"/>
      <c r="EP36" s="422"/>
      <c r="EQ36" s="422"/>
      <c r="ER36" s="422"/>
      <c r="ES36" s="422"/>
      <c r="ET36" s="422"/>
      <c r="EU36" s="422"/>
      <c r="EV36" s="422"/>
      <c r="EW36" s="422"/>
      <c r="EX36" s="422"/>
      <c r="EY36" s="422"/>
      <c r="EZ36" s="422"/>
      <c r="FA36" s="422"/>
      <c r="FB36" s="422"/>
      <c r="FC36" s="422"/>
      <c r="FD36" s="422"/>
      <c r="FE36" s="422"/>
      <c r="FF36" s="422"/>
      <c r="FG36" s="422"/>
      <c r="FH36" s="422"/>
      <c r="FI36" s="422"/>
      <c r="FJ36" s="422"/>
      <c r="FK36" s="422"/>
      <c r="FL36" s="422"/>
      <c r="FM36" s="422"/>
      <c r="FN36" s="422"/>
      <c r="FO36" s="422"/>
      <c r="FP36" s="422"/>
      <c r="FQ36" s="422"/>
      <c r="FR36" s="422"/>
      <c r="FS36" s="422"/>
      <c r="FT36" s="422"/>
      <c r="FU36" s="422"/>
      <c r="FV36" s="422"/>
      <c r="FW36" s="422"/>
      <c r="FX36" s="422"/>
      <c r="FY36" s="422"/>
      <c r="FZ36" s="422"/>
      <c r="GA36" s="422"/>
      <c r="GB36" s="422"/>
      <c r="GC36" s="422"/>
      <c r="GD36" s="422"/>
      <c r="GE36" s="422"/>
      <c r="GF36" s="422"/>
      <c r="GG36" s="422"/>
      <c r="GH36" s="422"/>
      <c r="GI36" s="422"/>
      <c r="GJ36" s="422"/>
      <c r="GK36" s="422"/>
      <c r="GL36" s="422"/>
      <c r="GM36" s="422"/>
      <c r="GN36" s="422"/>
      <c r="GO36" s="422"/>
      <c r="GP36" s="422"/>
      <c r="GQ36" s="422"/>
      <c r="GR36" s="422"/>
      <c r="GS36" s="422"/>
      <c r="GT36" s="422"/>
      <c r="GU36" s="422"/>
      <c r="GV36" s="422"/>
      <c r="GW36" s="422"/>
      <c r="GX36" s="422"/>
      <c r="GY36" s="422"/>
      <c r="GZ36" s="422"/>
      <c r="HA36" s="422"/>
      <c r="HB36" s="422"/>
      <c r="HC36" s="422"/>
      <c r="HD36" s="422"/>
      <c r="HE36" s="422"/>
      <c r="HF36" s="422"/>
      <c r="HG36" s="422"/>
      <c r="HH36" s="422"/>
      <c r="HI36" s="422"/>
      <c r="HJ36" s="422"/>
      <c r="HK36" s="422"/>
      <c r="HL36" s="422"/>
      <c r="HM36" s="422"/>
      <c r="HN36" s="422"/>
      <c r="HO36" s="422"/>
      <c r="HP36" s="422"/>
      <c r="HQ36" s="422"/>
      <c r="HR36" s="422"/>
      <c r="HS36" s="422"/>
      <c r="HT36" s="422"/>
      <c r="HU36" s="422"/>
      <c r="HV36" s="422"/>
      <c r="HW36" s="422"/>
      <c r="HX36" s="422"/>
      <c r="HY36" s="422"/>
      <c r="HZ36" s="422"/>
      <c r="IA36" s="422"/>
      <c r="IB36" s="422"/>
      <c r="IC36" s="422"/>
      <c r="ID36" s="422"/>
      <c r="IE36" s="422"/>
      <c r="IF36" s="422"/>
      <c r="IG36" s="422"/>
      <c r="IH36" s="422"/>
      <c r="II36" s="422"/>
      <c r="IJ36" s="422"/>
      <c r="IK36" s="422"/>
      <c r="IL36" s="422"/>
      <c r="IM36" s="15"/>
      <c r="IN36" s="15"/>
      <c r="IO36" s="15"/>
      <c r="IP36" s="15"/>
      <c r="IQ36" s="15"/>
      <c r="IR36" s="15"/>
      <c r="IS36" s="15"/>
      <c r="IT36" s="15"/>
    </row>
    <row r="37" spans="1:254" s="190" customFormat="1" ht="12.95" customHeight="1" x14ac:dyDescent="0.15">
      <c r="A37" s="185" t="s">
        <v>801</v>
      </c>
      <c r="B37" s="186"/>
      <c r="C37" s="410" t="str">
        <f>IF(G32="反応型",IF(50&gt;F34,"+0",IF(60&gt;F34,"+1",IF(70&gt;F34,"+2",IF(F34&gt;=70,"+3")))),"活性補正")</f>
        <v>活性補正</v>
      </c>
      <c r="D37" s="187" t="s">
        <v>802</v>
      </c>
      <c r="E37" s="188"/>
      <c r="F37" s="411" t="str">
        <f>IF(G32="増強型",IF(50&gt;F34,"+0",IF(60&gt;F34,"+1",IF(70&gt;F34,"+2",IF(F34&gt;=70,"+3")))),"活性補正")</f>
        <v>活性補正</v>
      </c>
      <c r="G37" s="412" t="s">
        <v>934</v>
      </c>
      <c r="H37" s="412"/>
      <c r="I37" s="413" t="s">
        <v>935</v>
      </c>
      <c r="J37" s="413"/>
      <c r="K37" s="413"/>
      <c r="L37" s="413"/>
      <c r="M37" s="189" t="s">
        <v>936</v>
      </c>
      <c r="N37" s="190" t="s">
        <v>926</v>
      </c>
      <c r="IL37" s="191"/>
      <c r="IM37" s="15"/>
      <c r="IN37" s="15"/>
      <c r="IO37" s="15"/>
      <c r="IP37" s="15"/>
      <c r="IQ37" s="15"/>
      <c r="IR37" s="15"/>
      <c r="IS37" s="15"/>
      <c r="IT37" s="15"/>
    </row>
    <row r="38" spans="1:254" s="201" customFormat="1" ht="12.95" customHeight="1" x14ac:dyDescent="0.15">
      <c r="A38" s="192" t="s">
        <v>885</v>
      </c>
      <c r="B38" s="193"/>
      <c r="C38" s="410"/>
      <c r="D38" s="194" t="s">
        <v>807</v>
      </c>
      <c r="E38" s="195"/>
      <c r="F38" s="411"/>
      <c r="G38" s="414" t="s">
        <v>937</v>
      </c>
      <c r="H38" s="414"/>
      <c r="I38" s="196" t="s">
        <v>938</v>
      </c>
      <c r="J38" s="197"/>
      <c r="K38" s="197" t="s">
        <v>939</v>
      </c>
      <c r="L38" s="198"/>
      <c r="M38" s="199" t="s">
        <v>936</v>
      </c>
      <c r="N38" s="200" t="s">
        <v>926</v>
      </c>
      <c r="O38" s="200"/>
      <c r="IL38" s="202"/>
      <c r="IM38" s="15"/>
      <c r="IN38" s="15"/>
      <c r="IO38" s="15"/>
      <c r="IP38" s="15"/>
      <c r="IQ38" s="15"/>
      <c r="IR38" s="15"/>
      <c r="IS38" s="15"/>
      <c r="IT38" s="15"/>
    </row>
    <row r="39" spans="1:254" s="208" customFormat="1" ht="12" customHeight="1" x14ac:dyDescent="0.15">
      <c r="A39" s="192" t="s">
        <v>886</v>
      </c>
      <c r="B39" s="193"/>
      <c r="C39" s="410"/>
      <c r="D39" s="194" t="s">
        <v>813</v>
      </c>
      <c r="E39" s="195"/>
      <c r="F39" s="411"/>
      <c r="G39" s="408" t="s">
        <v>940</v>
      </c>
      <c r="H39" s="408"/>
      <c r="I39" s="203"/>
      <c r="J39" s="204"/>
      <c r="K39" s="204"/>
      <c r="L39" s="205"/>
      <c r="M39" s="206" t="s">
        <v>941</v>
      </c>
      <c r="N39" s="207" t="s">
        <v>926</v>
      </c>
      <c r="O39" s="207"/>
      <c r="IL39" s="209"/>
      <c r="IM39" s="15"/>
      <c r="IN39" s="15"/>
      <c r="IO39" s="15"/>
      <c r="IP39" s="15"/>
      <c r="IQ39" s="15"/>
      <c r="IR39" s="15"/>
      <c r="IS39" s="15"/>
      <c r="IT39" s="15"/>
    </row>
    <row r="40" spans="1:254" s="208" customFormat="1" ht="12.95" customHeight="1" x14ac:dyDescent="0.15">
      <c r="A40" s="192" t="s">
        <v>363</v>
      </c>
      <c r="B40" s="210"/>
      <c r="C40" s="407" t="str">
        <f>IF(G32="増強型",IF(50&gt;F34,"+0",IF(60&gt;F34,"+1",IF(70&gt;F34,"+2",IF(F34&gt;=70,"+3")))),"活性補正")</f>
        <v>活性補正</v>
      </c>
      <c r="D40" s="194" t="s">
        <v>942</v>
      </c>
      <c r="E40" s="210"/>
      <c r="F40" s="211"/>
      <c r="G40" s="408" t="s">
        <v>943</v>
      </c>
      <c r="H40" s="408"/>
      <c r="I40" s="212" t="s">
        <v>944</v>
      </c>
      <c r="J40" s="213"/>
      <c r="K40" s="207" t="s">
        <v>945</v>
      </c>
      <c r="L40" s="214"/>
      <c r="M40" s="215" t="s">
        <v>941</v>
      </c>
      <c r="N40" s="207" t="s">
        <v>926</v>
      </c>
      <c r="O40" s="207"/>
      <c r="IL40" s="209"/>
      <c r="IM40" s="15"/>
      <c r="IN40" s="15"/>
      <c r="IO40" s="15"/>
      <c r="IP40" s="15"/>
      <c r="IQ40" s="15"/>
      <c r="IR40" s="15"/>
      <c r="IS40" s="15"/>
      <c r="IT40" s="15"/>
    </row>
    <row r="41" spans="1:254" s="222" customFormat="1" ht="12.95" customHeight="1" x14ac:dyDescent="0.15">
      <c r="A41" s="192" t="s">
        <v>946</v>
      </c>
      <c r="B41" s="210"/>
      <c r="C41" s="407"/>
      <c r="D41" s="194" t="s">
        <v>947</v>
      </c>
      <c r="E41" s="210"/>
      <c r="F41" s="216" t="str">
        <f>IF(G32="覚醒型",IF(50&gt;F34,"+0",IF(60&gt;F34,"+1",IF(70&gt;F34,"+2",IF(F34&gt;=70,"+3")))),"活性補正")</f>
        <v>活性補正</v>
      </c>
      <c r="G41" s="409" t="s">
        <v>948</v>
      </c>
      <c r="H41" s="409"/>
      <c r="I41" s="217" t="s">
        <v>949</v>
      </c>
      <c r="J41" s="218"/>
      <c r="K41" s="218" t="s">
        <v>950</v>
      </c>
      <c r="L41" s="219">
        <f>L40</f>
        <v>0</v>
      </c>
      <c r="M41" s="220" t="s">
        <v>936</v>
      </c>
      <c r="N41" s="221" t="s">
        <v>926</v>
      </c>
      <c r="O41" s="221"/>
      <c r="IL41" s="223"/>
      <c r="IM41" s="15"/>
      <c r="IN41" s="15"/>
      <c r="IO41" s="15"/>
      <c r="IP41" s="15"/>
      <c r="IQ41" s="15"/>
      <c r="IR41" s="15"/>
      <c r="IS41" s="15"/>
      <c r="IT41" s="15"/>
    </row>
    <row r="42" spans="1:254" s="15" customFormat="1" ht="12" customHeight="1" x14ac:dyDescent="0.15">
      <c r="A42" s="224" t="s">
        <v>34</v>
      </c>
      <c r="B42" s="225"/>
      <c r="C42" s="224" t="s">
        <v>136</v>
      </c>
      <c r="D42" s="225"/>
      <c r="E42" s="226" t="s">
        <v>209</v>
      </c>
      <c r="F42" s="225"/>
      <c r="G42" s="226" t="s">
        <v>287</v>
      </c>
      <c r="H42" s="225"/>
      <c r="I42" s="226" t="s">
        <v>348</v>
      </c>
      <c r="J42" s="225"/>
      <c r="K42" s="226" t="s">
        <v>402</v>
      </c>
      <c r="L42" s="227"/>
    </row>
    <row r="43" spans="1:254" s="15" customFormat="1" ht="12" customHeight="1" x14ac:dyDescent="0.15">
      <c r="A43" s="228" t="s">
        <v>92</v>
      </c>
      <c r="B43" s="229"/>
      <c r="C43" s="228" t="s">
        <v>171</v>
      </c>
      <c r="D43" s="229"/>
      <c r="E43" s="230" t="s">
        <v>248</v>
      </c>
      <c r="F43" s="229"/>
      <c r="G43" s="230" t="s">
        <v>320</v>
      </c>
      <c r="H43" s="229"/>
      <c r="I43" s="230" t="s">
        <v>375</v>
      </c>
      <c r="J43" s="229"/>
      <c r="K43" s="230" t="s">
        <v>298</v>
      </c>
      <c r="L43" s="231"/>
    </row>
    <row r="45" spans="1:254" s="174" customFormat="1" ht="12.95" customHeight="1" x14ac:dyDescent="0.15">
      <c r="A45" s="434" t="s">
        <v>711</v>
      </c>
      <c r="B45" s="434"/>
      <c r="C45" s="434"/>
      <c r="D45" s="434"/>
      <c r="E45" s="435" t="s">
        <v>712</v>
      </c>
      <c r="F45" s="435"/>
      <c r="G45" s="431" t="s">
        <v>1</v>
      </c>
      <c r="H45" s="431"/>
      <c r="I45" s="431" t="s">
        <v>930</v>
      </c>
      <c r="J45" s="431"/>
      <c r="K45" s="431"/>
      <c r="L45" s="431"/>
      <c r="M45" s="432" t="s">
        <v>925</v>
      </c>
      <c r="N45" s="433" t="s">
        <v>926</v>
      </c>
      <c r="O45" s="422"/>
      <c r="P45" s="422"/>
      <c r="Q45" s="422"/>
      <c r="R45" s="422"/>
      <c r="S45" s="422"/>
      <c r="T45" s="422"/>
      <c r="U45" s="422"/>
      <c r="V45" s="422"/>
      <c r="W45" s="422"/>
      <c r="X45" s="422"/>
      <c r="Y45" s="422"/>
      <c r="Z45" s="422"/>
      <c r="AA45" s="422"/>
      <c r="AB45" s="422"/>
      <c r="AC45" s="422"/>
      <c r="AD45" s="422"/>
      <c r="AE45" s="422"/>
      <c r="AF45" s="422"/>
      <c r="AG45" s="422"/>
      <c r="AH45" s="422"/>
      <c r="AI45" s="422"/>
      <c r="AJ45" s="422"/>
      <c r="AK45" s="422"/>
      <c r="AL45" s="422"/>
      <c r="AM45" s="422"/>
      <c r="AN45" s="422"/>
      <c r="AO45" s="422"/>
      <c r="AP45" s="422"/>
      <c r="AQ45" s="422"/>
      <c r="AR45" s="422"/>
      <c r="AS45" s="422"/>
      <c r="AT45" s="422"/>
      <c r="AU45" s="422"/>
      <c r="AV45" s="422"/>
      <c r="AW45" s="422"/>
      <c r="AX45" s="422"/>
      <c r="AY45" s="422"/>
      <c r="AZ45" s="422"/>
      <c r="BA45" s="422"/>
      <c r="BB45" s="422"/>
      <c r="BC45" s="422"/>
      <c r="BD45" s="422"/>
      <c r="BE45" s="422"/>
      <c r="BF45" s="422"/>
      <c r="BG45" s="422"/>
      <c r="BH45" s="422"/>
      <c r="BI45" s="422"/>
      <c r="BJ45" s="422"/>
      <c r="BK45" s="422"/>
      <c r="BL45" s="422"/>
      <c r="BM45" s="422"/>
      <c r="BN45" s="422"/>
      <c r="BO45" s="422"/>
      <c r="BP45" s="422"/>
      <c r="BQ45" s="422"/>
      <c r="BR45" s="422"/>
      <c r="BS45" s="422"/>
      <c r="BT45" s="422"/>
      <c r="BU45" s="422"/>
      <c r="BV45" s="422"/>
      <c r="BW45" s="422"/>
      <c r="BX45" s="422"/>
      <c r="BY45" s="422"/>
      <c r="BZ45" s="422"/>
      <c r="CA45" s="422"/>
      <c r="CB45" s="422"/>
      <c r="CC45" s="422"/>
      <c r="CD45" s="422"/>
      <c r="CE45" s="422"/>
      <c r="CF45" s="422"/>
      <c r="CG45" s="422"/>
      <c r="CH45" s="422"/>
      <c r="CI45" s="422"/>
      <c r="CJ45" s="422"/>
      <c r="CK45" s="422"/>
      <c r="CL45" s="422"/>
      <c r="CM45" s="422"/>
      <c r="CN45" s="422"/>
      <c r="CO45" s="422"/>
      <c r="CP45" s="422"/>
      <c r="CQ45" s="422"/>
      <c r="CR45" s="422"/>
      <c r="CS45" s="422"/>
      <c r="CT45" s="422"/>
      <c r="CU45" s="422"/>
      <c r="CV45" s="422"/>
      <c r="CW45" s="422"/>
      <c r="CX45" s="422"/>
      <c r="CY45" s="422"/>
      <c r="CZ45" s="422"/>
      <c r="DA45" s="422"/>
      <c r="DB45" s="422"/>
      <c r="DC45" s="422"/>
      <c r="DD45" s="422"/>
      <c r="DE45" s="422"/>
      <c r="DF45" s="422"/>
      <c r="DG45" s="422"/>
      <c r="DH45" s="422"/>
      <c r="DI45" s="422"/>
      <c r="DJ45" s="422"/>
      <c r="DK45" s="422"/>
      <c r="DL45" s="422"/>
      <c r="DM45" s="422"/>
      <c r="DN45" s="422"/>
      <c r="DO45" s="422"/>
      <c r="DP45" s="422"/>
      <c r="DQ45" s="422"/>
      <c r="DR45" s="422"/>
      <c r="DS45" s="422"/>
      <c r="DT45" s="422"/>
      <c r="DU45" s="422"/>
      <c r="DV45" s="422"/>
      <c r="DW45" s="422"/>
      <c r="DX45" s="422"/>
      <c r="DY45" s="422"/>
      <c r="DZ45" s="422"/>
      <c r="EA45" s="422"/>
      <c r="EB45" s="422"/>
      <c r="EC45" s="422"/>
      <c r="ED45" s="422"/>
      <c r="EE45" s="422"/>
      <c r="EF45" s="422"/>
      <c r="EG45" s="422"/>
      <c r="EH45" s="422"/>
      <c r="EI45" s="422"/>
      <c r="EJ45" s="422"/>
      <c r="EK45" s="422"/>
      <c r="EL45" s="422"/>
      <c r="EM45" s="422"/>
      <c r="EN45" s="422"/>
      <c r="EO45" s="422"/>
      <c r="EP45" s="422"/>
      <c r="EQ45" s="422"/>
      <c r="ER45" s="422"/>
      <c r="ES45" s="422"/>
      <c r="ET45" s="422"/>
      <c r="EU45" s="422"/>
      <c r="EV45" s="422"/>
      <c r="EW45" s="422"/>
      <c r="EX45" s="422"/>
      <c r="EY45" s="422"/>
      <c r="EZ45" s="422"/>
      <c r="FA45" s="422"/>
      <c r="FB45" s="422"/>
      <c r="FC45" s="422"/>
      <c r="FD45" s="422"/>
      <c r="FE45" s="422"/>
      <c r="FF45" s="422"/>
      <c r="FG45" s="422"/>
      <c r="FH45" s="422"/>
      <c r="FI45" s="422"/>
      <c r="FJ45" s="422"/>
      <c r="FK45" s="422"/>
      <c r="FL45" s="422"/>
      <c r="FM45" s="422"/>
      <c r="FN45" s="422"/>
      <c r="FO45" s="422"/>
      <c r="FP45" s="422"/>
      <c r="FQ45" s="422"/>
      <c r="FR45" s="422"/>
      <c r="FS45" s="422"/>
      <c r="FT45" s="422"/>
      <c r="FU45" s="422"/>
      <c r="FV45" s="422"/>
      <c r="FW45" s="422"/>
      <c r="FX45" s="422"/>
      <c r="FY45" s="422"/>
      <c r="FZ45" s="422"/>
      <c r="GA45" s="422"/>
      <c r="GB45" s="422"/>
      <c r="GC45" s="422"/>
      <c r="GD45" s="422"/>
      <c r="GE45" s="422"/>
      <c r="GF45" s="422"/>
      <c r="GG45" s="422"/>
      <c r="GH45" s="422"/>
      <c r="GI45" s="422"/>
      <c r="GJ45" s="422"/>
      <c r="GK45" s="422"/>
      <c r="GL45" s="422"/>
      <c r="GM45" s="422"/>
      <c r="GN45" s="422"/>
      <c r="GO45" s="422"/>
      <c r="GP45" s="422"/>
      <c r="GQ45" s="422"/>
      <c r="GR45" s="422"/>
      <c r="GS45" s="422"/>
      <c r="GT45" s="422"/>
      <c r="GU45" s="422"/>
      <c r="GV45" s="422"/>
      <c r="GW45" s="422"/>
      <c r="GX45" s="422"/>
      <c r="GY45" s="422"/>
      <c r="GZ45" s="422"/>
      <c r="HA45" s="422"/>
      <c r="HB45" s="422"/>
      <c r="HC45" s="422"/>
      <c r="HD45" s="422"/>
      <c r="HE45" s="422"/>
      <c r="HF45" s="422"/>
      <c r="HG45" s="422"/>
      <c r="HH45" s="422"/>
      <c r="HI45" s="422"/>
      <c r="HJ45" s="422"/>
      <c r="HK45" s="422"/>
      <c r="HL45" s="422"/>
      <c r="HM45" s="422"/>
      <c r="HN45" s="422"/>
      <c r="HO45" s="422"/>
      <c r="HP45" s="422"/>
      <c r="HQ45" s="422"/>
      <c r="HR45" s="422"/>
      <c r="HS45" s="422"/>
      <c r="HT45" s="422"/>
      <c r="HU45" s="422"/>
      <c r="HV45" s="422"/>
      <c r="HW45" s="422"/>
      <c r="HX45" s="422"/>
      <c r="HY45" s="422"/>
      <c r="HZ45" s="422"/>
      <c r="IA45" s="422"/>
      <c r="IB45" s="422"/>
      <c r="IC45" s="422"/>
      <c r="ID45" s="422"/>
      <c r="IE45" s="422"/>
      <c r="IF45" s="422"/>
      <c r="IG45" s="422"/>
      <c r="IH45" s="422"/>
      <c r="II45" s="422"/>
      <c r="IJ45" s="422"/>
      <c r="IK45" s="422"/>
      <c r="IL45" s="421"/>
      <c r="IM45" s="15"/>
      <c r="IN45" s="15"/>
      <c r="IO45" s="15"/>
      <c r="IP45" s="15"/>
      <c r="IQ45" s="15"/>
      <c r="IR45" s="15"/>
      <c r="IS45" s="15"/>
      <c r="IT45" s="15"/>
    </row>
    <row r="46" spans="1:254" s="174" customFormat="1" ht="12.95" customHeight="1" x14ac:dyDescent="0.15">
      <c r="A46" s="423"/>
      <c r="B46" s="423"/>
      <c r="C46" s="423"/>
      <c r="D46" s="423"/>
      <c r="E46" s="424"/>
      <c r="F46" s="424"/>
      <c r="G46" s="425" t="s">
        <v>19</v>
      </c>
      <c r="H46" s="425"/>
      <c r="I46" s="426"/>
      <c r="J46" s="426"/>
      <c r="K46" s="426"/>
      <c r="L46" s="426"/>
      <c r="M46" s="432"/>
      <c r="N46" s="433"/>
      <c r="O46" s="422"/>
      <c r="P46" s="422"/>
      <c r="Q46" s="422"/>
      <c r="R46" s="422"/>
      <c r="S46" s="422"/>
      <c r="T46" s="422"/>
      <c r="U46" s="422"/>
      <c r="V46" s="422"/>
      <c r="W46" s="422"/>
      <c r="X46" s="422"/>
      <c r="Y46" s="422"/>
      <c r="Z46" s="422"/>
      <c r="AA46" s="422"/>
      <c r="AB46" s="422"/>
      <c r="AC46" s="422"/>
      <c r="AD46" s="422"/>
      <c r="AE46" s="422"/>
      <c r="AF46" s="422"/>
      <c r="AG46" s="422"/>
      <c r="AH46" s="422"/>
      <c r="AI46" s="422"/>
      <c r="AJ46" s="422"/>
      <c r="AK46" s="422"/>
      <c r="AL46" s="422"/>
      <c r="AM46" s="422"/>
      <c r="AN46" s="422"/>
      <c r="AO46" s="422"/>
      <c r="AP46" s="422"/>
      <c r="AQ46" s="422"/>
      <c r="AR46" s="422"/>
      <c r="AS46" s="422"/>
      <c r="AT46" s="422"/>
      <c r="AU46" s="422"/>
      <c r="AV46" s="422"/>
      <c r="AW46" s="422"/>
      <c r="AX46" s="422"/>
      <c r="AY46" s="422"/>
      <c r="AZ46" s="422"/>
      <c r="BA46" s="422"/>
      <c r="BB46" s="422"/>
      <c r="BC46" s="422"/>
      <c r="BD46" s="422"/>
      <c r="BE46" s="422"/>
      <c r="BF46" s="422"/>
      <c r="BG46" s="422"/>
      <c r="BH46" s="422"/>
      <c r="BI46" s="422"/>
      <c r="BJ46" s="422"/>
      <c r="BK46" s="422"/>
      <c r="BL46" s="422"/>
      <c r="BM46" s="422"/>
      <c r="BN46" s="422"/>
      <c r="BO46" s="422"/>
      <c r="BP46" s="422"/>
      <c r="BQ46" s="422"/>
      <c r="BR46" s="422"/>
      <c r="BS46" s="422"/>
      <c r="BT46" s="422"/>
      <c r="BU46" s="422"/>
      <c r="BV46" s="422"/>
      <c r="BW46" s="422"/>
      <c r="BX46" s="422"/>
      <c r="BY46" s="422"/>
      <c r="BZ46" s="422"/>
      <c r="CA46" s="422"/>
      <c r="CB46" s="422"/>
      <c r="CC46" s="422"/>
      <c r="CD46" s="422"/>
      <c r="CE46" s="422"/>
      <c r="CF46" s="422"/>
      <c r="CG46" s="422"/>
      <c r="CH46" s="422"/>
      <c r="CI46" s="422"/>
      <c r="CJ46" s="422"/>
      <c r="CK46" s="422"/>
      <c r="CL46" s="422"/>
      <c r="CM46" s="422"/>
      <c r="CN46" s="422"/>
      <c r="CO46" s="422"/>
      <c r="CP46" s="422"/>
      <c r="CQ46" s="422"/>
      <c r="CR46" s="422"/>
      <c r="CS46" s="422"/>
      <c r="CT46" s="422"/>
      <c r="CU46" s="422"/>
      <c r="CV46" s="422"/>
      <c r="CW46" s="422"/>
      <c r="CX46" s="422"/>
      <c r="CY46" s="422"/>
      <c r="CZ46" s="422"/>
      <c r="DA46" s="422"/>
      <c r="DB46" s="422"/>
      <c r="DC46" s="422"/>
      <c r="DD46" s="422"/>
      <c r="DE46" s="422"/>
      <c r="DF46" s="422"/>
      <c r="DG46" s="422"/>
      <c r="DH46" s="422"/>
      <c r="DI46" s="422"/>
      <c r="DJ46" s="422"/>
      <c r="DK46" s="422"/>
      <c r="DL46" s="422"/>
      <c r="DM46" s="422"/>
      <c r="DN46" s="422"/>
      <c r="DO46" s="422"/>
      <c r="DP46" s="422"/>
      <c r="DQ46" s="422"/>
      <c r="DR46" s="422"/>
      <c r="DS46" s="422"/>
      <c r="DT46" s="422"/>
      <c r="DU46" s="422"/>
      <c r="DV46" s="422"/>
      <c r="DW46" s="422"/>
      <c r="DX46" s="422"/>
      <c r="DY46" s="422"/>
      <c r="DZ46" s="422"/>
      <c r="EA46" s="422"/>
      <c r="EB46" s="422"/>
      <c r="EC46" s="422"/>
      <c r="ED46" s="422"/>
      <c r="EE46" s="422"/>
      <c r="EF46" s="422"/>
      <c r="EG46" s="422"/>
      <c r="EH46" s="422"/>
      <c r="EI46" s="422"/>
      <c r="EJ46" s="422"/>
      <c r="EK46" s="422"/>
      <c r="EL46" s="422"/>
      <c r="EM46" s="422"/>
      <c r="EN46" s="422"/>
      <c r="EO46" s="422"/>
      <c r="EP46" s="422"/>
      <c r="EQ46" s="422"/>
      <c r="ER46" s="422"/>
      <c r="ES46" s="422"/>
      <c r="ET46" s="422"/>
      <c r="EU46" s="422"/>
      <c r="EV46" s="422"/>
      <c r="EW46" s="422"/>
      <c r="EX46" s="422"/>
      <c r="EY46" s="422"/>
      <c r="EZ46" s="422"/>
      <c r="FA46" s="422"/>
      <c r="FB46" s="422"/>
      <c r="FC46" s="422"/>
      <c r="FD46" s="422"/>
      <c r="FE46" s="422"/>
      <c r="FF46" s="422"/>
      <c r="FG46" s="422"/>
      <c r="FH46" s="422"/>
      <c r="FI46" s="422"/>
      <c r="FJ46" s="422"/>
      <c r="FK46" s="422"/>
      <c r="FL46" s="422"/>
      <c r="FM46" s="422"/>
      <c r="FN46" s="422"/>
      <c r="FO46" s="422"/>
      <c r="FP46" s="422"/>
      <c r="FQ46" s="422"/>
      <c r="FR46" s="422"/>
      <c r="FS46" s="422"/>
      <c r="FT46" s="422"/>
      <c r="FU46" s="422"/>
      <c r="FV46" s="422"/>
      <c r="FW46" s="422"/>
      <c r="FX46" s="422"/>
      <c r="FY46" s="422"/>
      <c r="FZ46" s="422"/>
      <c r="GA46" s="422"/>
      <c r="GB46" s="422"/>
      <c r="GC46" s="422"/>
      <c r="GD46" s="422"/>
      <c r="GE46" s="422"/>
      <c r="GF46" s="422"/>
      <c r="GG46" s="422"/>
      <c r="GH46" s="422"/>
      <c r="GI46" s="422"/>
      <c r="GJ46" s="422"/>
      <c r="GK46" s="422"/>
      <c r="GL46" s="422"/>
      <c r="GM46" s="422"/>
      <c r="GN46" s="422"/>
      <c r="GO46" s="422"/>
      <c r="GP46" s="422"/>
      <c r="GQ46" s="422"/>
      <c r="GR46" s="422"/>
      <c r="GS46" s="422"/>
      <c r="GT46" s="422"/>
      <c r="GU46" s="422"/>
      <c r="GV46" s="422"/>
      <c r="GW46" s="422"/>
      <c r="GX46" s="422"/>
      <c r="GY46" s="422"/>
      <c r="GZ46" s="422"/>
      <c r="HA46" s="422"/>
      <c r="HB46" s="422"/>
      <c r="HC46" s="422"/>
      <c r="HD46" s="422"/>
      <c r="HE46" s="422"/>
      <c r="HF46" s="422"/>
      <c r="HG46" s="422"/>
      <c r="HH46" s="422"/>
      <c r="HI46" s="422"/>
      <c r="HJ46" s="422"/>
      <c r="HK46" s="422"/>
      <c r="HL46" s="422"/>
      <c r="HM46" s="422"/>
      <c r="HN46" s="422"/>
      <c r="HO46" s="422"/>
      <c r="HP46" s="422"/>
      <c r="HQ46" s="422"/>
      <c r="HR46" s="422"/>
      <c r="HS46" s="422"/>
      <c r="HT46" s="422"/>
      <c r="HU46" s="422"/>
      <c r="HV46" s="422"/>
      <c r="HW46" s="422"/>
      <c r="HX46" s="422"/>
      <c r="HY46" s="422"/>
      <c r="HZ46" s="422"/>
      <c r="IA46" s="422"/>
      <c r="IB46" s="422"/>
      <c r="IC46" s="422"/>
      <c r="ID46" s="422"/>
      <c r="IE46" s="422"/>
      <c r="IF46" s="422"/>
      <c r="IG46" s="422"/>
      <c r="IH46" s="422"/>
      <c r="II46" s="422"/>
      <c r="IJ46" s="422"/>
      <c r="IK46" s="422"/>
      <c r="IL46" s="422"/>
      <c r="IM46" s="15"/>
      <c r="IN46" s="15"/>
      <c r="IO46" s="15"/>
      <c r="IP46" s="15"/>
      <c r="IQ46" s="15"/>
      <c r="IR46" s="15"/>
      <c r="IS46" s="15"/>
      <c r="IT46" s="15"/>
    </row>
    <row r="47" spans="1:254" s="174" customFormat="1" ht="12.95" customHeight="1" x14ac:dyDescent="0.15">
      <c r="A47" s="427" t="s">
        <v>931</v>
      </c>
      <c r="B47" s="427"/>
      <c r="C47" s="428" t="s">
        <v>772</v>
      </c>
      <c r="D47" s="428"/>
      <c r="E47" s="429" t="s">
        <v>778</v>
      </c>
      <c r="F47" s="429"/>
      <c r="G47" s="418" t="s">
        <v>4</v>
      </c>
      <c r="H47" s="418"/>
      <c r="I47" s="426"/>
      <c r="J47" s="426"/>
      <c r="K47" s="426"/>
      <c r="L47" s="426"/>
      <c r="M47" s="432"/>
      <c r="N47" s="433"/>
      <c r="O47" s="422"/>
      <c r="P47" s="422"/>
      <c r="Q47" s="422"/>
      <c r="R47" s="422"/>
      <c r="S47" s="422"/>
      <c r="T47" s="422"/>
      <c r="U47" s="422"/>
      <c r="V47" s="422"/>
      <c r="W47" s="422"/>
      <c r="X47" s="422"/>
      <c r="Y47" s="422"/>
      <c r="Z47" s="422"/>
      <c r="AA47" s="422"/>
      <c r="AB47" s="422"/>
      <c r="AC47" s="422"/>
      <c r="AD47" s="422"/>
      <c r="AE47" s="422"/>
      <c r="AF47" s="422"/>
      <c r="AG47" s="422"/>
      <c r="AH47" s="422"/>
      <c r="AI47" s="422"/>
      <c r="AJ47" s="422"/>
      <c r="AK47" s="422"/>
      <c r="AL47" s="422"/>
      <c r="AM47" s="422"/>
      <c r="AN47" s="422"/>
      <c r="AO47" s="422"/>
      <c r="AP47" s="422"/>
      <c r="AQ47" s="422"/>
      <c r="AR47" s="422"/>
      <c r="AS47" s="422"/>
      <c r="AT47" s="422"/>
      <c r="AU47" s="422"/>
      <c r="AV47" s="422"/>
      <c r="AW47" s="422"/>
      <c r="AX47" s="422"/>
      <c r="AY47" s="422"/>
      <c r="AZ47" s="422"/>
      <c r="BA47" s="422"/>
      <c r="BB47" s="422"/>
      <c r="BC47" s="422"/>
      <c r="BD47" s="422"/>
      <c r="BE47" s="422"/>
      <c r="BF47" s="422"/>
      <c r="BG47" s="422"/>
      <c r="BH47" s="422"/>
      <c r="BI47" s="422"/>
      <c r="BJ47" s="422"/>
      <c r="BK47" s="422"/>
      <c r="BL47" s="422"/>
      <c r="BM47" s="422"/>
      <c r="BN47" s="422"/>
      <c r="BO47" s="422"/>
      <c r="BP47" s="422"/>
      <c r="BQ47" s="422"/>
      <c r="BR47" s="422"/>
      <c r="BS47" s="422"/>
      <c r="BT47" s="422"/>
      <c r="BU47" s="422"/>
      <c r="BV47" s="422"/>
      <c r="BW47" s="422"/>
      <c r="BX47" s="422"/>
      <c r="BY47" s="422"/>
      <c r="BZ47" s="422"/>
      <c r="CA47" s="422"/>
      <c r="CB47" s="422"/>
      <c r="CC47" s="422"/>
      <c r="CD47" s="422"/>
      <c r="CE47" s="422"/>
      <c r="CF47" s="422"/>
      <c r="CG47" s="422"/>
      <c r="CH47" s="422"/>
      <c r="CI47" s="422"/>
      <c r="CJ47" s="422"/>
      <c r="CK47" s="422"/>
      <c r="CL47" s="422"/>
      <c r="CM47" s="422"/>
      <c r="CN47" s="422"/>
      <c r="CO47" s="422"/>
      <c r="CP47" s="422"/>
      <c r="CQ47" s="422"/>
      <c r="CR47" s="422"/>
      <c r="CS47" s="422"/>
      <c r="CT47" s="422"/>
      <c r="CU47" s="422"/>
      <c r="CV47" s="422"/>
      <c r="CW47" s="422"/>
      <c r="CX47" s="422"/>
      <c r="CY47" s="422"/>
      <c r="CZ47" s="422"/>
      <c r="DA47" s="422"/>
      <c r="DB47" s="422"/>
      <c r="DC47" s="422"/>
      <c r="DD47" s="422"/>
      <c r="DE47" s="422"/>
      <c r="DF47" s="422"/>
      <c r="DG47" s="422"/>
      <c r="DH47" s="422"/>
      <c r="DI47" s="422"/>
      <c r="DJ47" s="422"/>
      <c r="DK47" s="422"/>
      <c r="DL47" s="422"/>
      <c r="DM47" s="422"/>
      <c r="DN47" s="422"/>
      <c r="DO47" s="422"/>
      <c r="DP47" s="422"/>
      <c r="DQ47" s="422"/>
      <c r="DR47" s="422"/>
      <c r="DS47" s="422"/>
      <c r="DT47" s="422"/>
      <c r="DU47" s="422"/>
      <c r="DV47" s="422"/>
      <c r="DW47" s="422"/>
      <c r="DX47" s="422"/>
      <c r="DY47" s="422"/>
      <c r="DZ47" s="422"/>
      <c r="EA47" s="422"/>
      <c r="EB47" s="422"/>
      <c r="EC47" s="422"/>
      <c r="ED47" s="422"/>
      <c r="EE47" s="422"/>
      <c r="EF47" s="422"/>
      <c r="EG47" s="422"/>
      <c r="EH47" s="422"/>
      <c r="EI47" s="422"/>
      <c r="EJ47" s="422"/>
      <c r="EK47" s="422"/>
      <c r="EL47" s="422"/>
      <c r="EM47" s="422"/>
      <c r="EN47" s="422"/>
      <c r="EO47" s="422"/>
      <c r="EP47" s="422"/>
      <c r="EQ47" s="422"/>
      <c r="ER47" s="422"/>
      <c r="ES47" s="422"/>
      <c r="ET47" s="422"/>
      <c r="EU47" s="422"/>
      <c r="EV47" s="422"/>
      <c r="EW47" s="422"/>
      <c r="EX47" s="422"/>
      <c r="EY47" s="422"/>
      <c r="EZ47" s="422"/>
      <c r="FA47" s="422"/>
      <c r="FB47" s="422"/>
      <c r="FC47" s="422"/>
      <c r="FD47" s="422"/>
      <c r="FE47" s="422"/>
      <c r="FF47" s="422"/>
      <c r="FG47" s="422"/>
      <c r="FH47" s="422"/>
      <c r="FI47" s="422"/>
      <c r="FJ47" s="422"/>
      <c r="FK47" s="422"/>
      <c r="FL47" s="422"/>
      <c r="FM47" s="422"/>
      <c r="FN47" s="422"/>
      <c r="FO47" s="422"/>
      <c r="FP47" s="422"/>
      <c r="FQ47" s="422"/>
      <c r="FR47" s="422"/>
      <c r="FS47" s="422"/>
      <c r="FT47" s="422"/>
      <c r="FU47" s="422"/>
      <c r="FV47" s="422"/>
      <c r="FW47" s="422"/>
      <c r="FX47" s="422"/>
      <c r="FY47" s="422"/>
      <c r="FZ47" s="422"/>
      <c r="GA47" s="422"/>
      <c r="GB47" s="422"/>
      <c r="GC47" s="422"/>
      <c r="GD47" s="422"/>
      <c r="GE47" s="422"/>
      <c r="GF47" s="422"/>
      <c r="GG47" s="422"/>
      <c r="GH47" s="422"/>
      <c r="GI47" s="422"/>
      <c r="GJ47" s="422"/>
      <c r="GK47" s="422"/>
      <c r="GL47" s="422"/>
      <c r="GM47" s="422"/>
      <c r="GN47" s="422"/>
      <c r="GO47" s="422"/>
      <c r="GP47" s="422"/>
      <c r="GQ47" s="422"/>
      <c r="GR47" s="422"/>
      <c r="GS47" s="422"/>
      <c r="GT47" s="422"/>
      <c r="GU47" s="422"/>
      <c r="GV47" s="422"/>
      <c r="GW47" s="422"/>
      <c r="GX47" s="422"/>
      <c r="GY47" s="422"/>
      <c r="GZ47" s="422"/>
      <c r="HA47" s="422"/>
      <c r="HB47" s="422"/>
      <c r="HC47" s="422"/>
      <c r="HD47" s="422"/>
      <c r="HE47" s="422"/>
      <c r="HF47" s="422"/>
      <c r="HG47" s="422"/>
      <c r="HH47" s="422"/>
      <c r="HI47" s="422"/>
      <c r="HJ47" s="422"/>
      <c r="HK47" s="422"/>
      <c r="HL47" s="422"/>
      <c r="HM47" s="422"/>
      <c r="HN47" s="422"/>
      <c r="HO47" s="422"/>
      <c r="HP47" s="422"/>
      <c r="HQ47" s="422"/>
      <c r="HR47" s="422"/>
      <c r="HS47" s="422"/>
      <c r="HT47" s="422"/>
      <c r="HU47" s="422"/>
      <c r="HV47" s="422"/>
      <c r="HW47" s="422"/>
      <c r="HX47" s="422"/>
      <c r="HY47" s="422"/>
      <c r="HZ47" s="422"/>
      <c r="IA47" s="422"/>
      <c r="IB47" s="422"/>
      <c r="IC47" s="422"/>
      <c r="ID47" s="422"/>
      <c r="IE47" s="422"/>
      <c r="IF47" s="422"/>
      <c r="IG47" s="422"/>
      <c r="IH47" s="422"/>
      <c r="II47" s="422"/>
      <c r="IJ47" s="422"/>
      <c r="IK47" s="422"/>
      <c r="IL47" s="422"/>
      <c r="IM47" s="15"/>
      <c r="IN47" s="15"/>
      <c r="IO47" s="15"/>
      <c r="IP47" s="15"/>
      <c r="IQ47" s="15"/>
      <c r="IR47" s="15"/>
      <c r="IS47" s="15"/>
      <c r="IT47" s="15"/>
    </row>
    <row r="48" spans="1:254" s="174" customFormat="1" ht="12.95" customHeight="1" x14ac:dyDescent="0.15">
      <c r="A48" s="175">
        <f>B48+SUM(O52:IL52)</f>
        <v>0</v>
      </c>
      <c r="B48" s="176">
        <f>J52+L52</f>
        <v>0</v>
      </c>
      <c r="C48" s="177">
        <f>D48-SUM(O53:IL53)+SUM(O54:IL54)</f>
        <v>0</v>
      </c>
      <c r="D48" s="178">
        <f>J54+L54</f>
        <v>0</v>
      </c>
      <c r="E48" s="179">
        <f>J55+L55</f>
        <v>0</v>
      </c>
      <c r="F48" s="180">
        <f>E48+SUM(O55:IL55)</f>
        <v>0</v>
      </c>
      <c r="G48" s="430" t="s">
        <v>19</v>
      </c>
      <c r="H48" s="430"/>
      <c r="I48" s="426"/>
      <c r="J48" s="426"/>
      <c r="K48" s="426"/>
      <c r="L48" s="426"/>
      <c r="M48" s="432"/>
      <c r="N48" s="432"/>
      <c r="O48" s="422"/>
      <c r="P48" s="422"/>
      <c r="Q48" s="422"/>
      <c r="R48" s="422"/>
      <c r="S48" s="422"/>
      <c r="T48" s="422"/>
      <c r="U48" s="422"/>
      <c r="V48" s="422"/>
      <c r="W48" s="422"/>
      <c r="X48" s="422"/>
      <c r="Y48" s="422"/>
      <c r="Z48" s="422"/>
      <c r="AA48" s="422"/>
      <c r="AB48" s="422"/>
      <c r="AC48" s="422"/>
      <c r="AD48" s="422"/>
      <c r="AE48" s="422"/>
      <c r="AF48" s="422"/>
      <c r="AG48" s="422"/>
      <c r="AH48" s="422"/>
      <c r="AI48" s="422"/>
      <c r="AJ48" s="422"/>
      <c r="AK48" s="422"/>
      <c r="AL48" s="422"/>
      <c r="AM48" s="422"/>
      <c r="AN48" s="422"/>
      <c r="AO48" s="422"/>
      <c r="AP48" s="422"/>
      <c r="AQ48" s="422"/>
      <c r="AR48" s="422"/>
      <c r="AS48" s="422"/>
      <c r="AT48" s="422"/>
      <c r="AU48" s="422"/>
      <c r="AV48" s="422"/>
      <c r="AW48" s="422"/>
      <c r="AX48" s="422"/>
      <c r="AY48" s="422"/>
      <c r="AZ48" s="422"/>
      <c r="BA48" s="422"/>
      <c r="BB48" s="422"/>
      <c r="BC48" s="422"/>
      <c r="BD48" s="422"/>
      <c r="BE48" s="422"/>
      <c r="BF48" s="422"/>
      <c r="BG48" s="422"/>
      <c r="BH48" s="422"/>
      <c r="BI48" s="422"/>
      <c r="BJ48" s="422"/>
      <c r="BK48" s="422"/>
      <c r="BL48" s="422"/>
      <c r="BM48" s="422"/>
      <c r="BN48" s="422"/>
      <c r="BO48" s="422"/>
      <c r="BP48" s="422"/>
      <c r="BQ48" s="422"/>
      <c r="BR48" s="422"/>
      <c r="BS48" s="422"/>
      <c r="BT48" s="422"/>
      <c r="BU48" s="422"/>
      <c r="BV48" s="422"/>
      <c r="BW48" s="422"/>
      <c r="BX48" s="422"/>
      <c r="BY48" s="422"/>
      <c r="BZ48" s="422"/>
      <c r="CA48" s="422"/>
      <c r="CB48" s="422"/>
      <c r="CC48" s="422"/>
      <c r="CD48" s="422"/>
      <c r="CE48" s="422"/>
      <c r="CF48" s="422"/>
      <c r="CG48" s="422"/>
      <c r="CH48" s="422"/>
      <c r="CI48" s="422"/>
      <c r="CJ48" s="422"/>
      <c r="CK48" s="422"/>
      <c r="CL48" s="422"/>
      <c r="CM48" s="422"/>
      <c r="CN48" s="422"/>
      <c r="CO48" s="422"/>
      <c r="CP48" s="422"/>
      <c r="CQ48" s="422"/>
      <c r="CR48" s="422"/>
      <c r="CS48" s="422"/>
      <c r="CT48" s="422"/>
      <c r="CU48" s="422"/>
      <c r="CV48" s="422"/>
      <c r="CW48" s="422"/>
      <c r="CX48" s="422"/>
      <c r="CY48" s="422"/>
      <c r="CZ48" s="422"/>
      <c r="DA48" s="422"/>
      <c r="DB48" s="422"/>
      <c r="DC48" s="422"/>
      <c r="DD48" s="422"/>
      <c r="DE48" s="422"/>
      <c r="DF48" s="422"/>
      <c r="DG48" s="422"/>
      <c r="DH48" s="422"/>
      <c r="DI48" s="422"/>
      <c r="DJ48" s="422"/>
      <c r="DK48" s="422"/>
      <c r="DL48" s="422"/>
      <c r="DM48" s="422"/>
      <c r="DN48" s="422"/>
      <c r="DO48" s="422"/>
      <c r="DP48" s="422"/>
      <c r="DQ48" s="422"/>
      <c r="DR48" s="422"/>
      <c r="DS48" s="422"/>
      <c r="DT48" s="422"/>
      <c r="DU48" s="422"/>
      <c r="DV48" s="422"/>
      <c r="DW48" s="422"/>
      <c r="DX48" s="422"/>
      <c r="DY48" s="422"/>
      <c r="DZ48" s="422"/>
      <c r="EA48" s="422"/>
      <c r="EB48" s="422"/>
      <c r="EC48" s="422"/>
      <c r="ED48" s="422"/>
      <c r="EE48" s="422"/>
      <c r="EF48" s="422"/>
      <c r="EG48" s="422"/>
      <c r="EH48" s="422"/>
      <c r="EI48" s="422"/>
      <c r="EJ48" s="422"/>
      <c r="EK48" s="422"/>
      <c r="EL48" s="422"/>
      <c r="EM48" s="422"/>
      <c r="EN48" s="422"/>
      <c r="EO48" s="422"/>
      <c r="EP48" s="422"/>
      <c r="EQ48" s="422"/>
      <c r="ER48" s="422"/>
      <c r="ES48" s="422"/>
      <c r="ET48" s="422"/>
      <c r="EU48" s="422"/>
      <c r="EV48" s="422"/>
      <c r="EW48" s="422"/>
      <c r="EX48" s="422"/>
      <c r="EY48" s="422"/>
      <c r="EZ48" s="422"/>
      <c r="FA48" s="422"/>
      <c r="FB48" s="422"/>
      <c r="FC48" s="422"/>
      <c r="FD48" s="422"/>
      <c r="FE48" s="422"/>
      <c r="FF48" s="422"/>
      <c r="FG48" s="422"/>
      <c r="FH48" s="422"/>
      <c r="FI48" s="422"/>
      <c r="FJ48" s="422"/>
      <c r="FK48" s="422"/>
      <c r="FL48" s="422"/>
      <c r="FM48" s="422"/>
      <c r="FN48" s="422"/>
      <c r="FO48" s="422"/>
      <c r="FP48" s="422"/>
      <c r="FQ48" s="422"/>
      <c r="FR48" s="422"/>
      <c r="FS48" s="422"/>
      <c r="FT48" s="422"/>
      <c r="FU48" s="422"/>
      <c r="FV48" s="422"/>
      <c r="FW48" s="422"/>
      <c r="FX48" s="422"/>
      <c r="FY48" s="422"/>
      <c r="FZ48" s="422"/>
      <c r="GA48" s="422"/>
      <c r="GB48" s="422"/>
      <c r="GC48" s="422"/>
      <c r="GD48" s="422"/>
      <c r="GE48" s="422"/>
      <c r="GF48" s="422"/>
      <c r="GG48" s="422"/>
      <c r="GH48" s="422"/>
      <c r="GI48" s="422"/>
      <c r="GJ48" s="422"/>
      <c r="GK48" s="422"/>
      <c r="GL48" s="422"/>
      <c r="GM48" s="422"/>
      <c r="GN48" s="422"/>
      <c r="GO48" s="422"/>
      <c r="GP48" s="422"/>
      <c r="GQ48" s="422"/>
      <c r="GR48" s="422"/>
      <c r="GS48" s="422"/>
      <c r="GT48" s="422"/>
      <c r="GU48" s="422"/>
      <c r="GV48" s="422"/>
      <c r="GW48" s="422"/>
      <c r="GX48" s="422"/>
      <c r="GY48" s="422"/>
      <c r="GZ48" s="422"/>
      <c r="HA48" s="422"/>
      <c r="HB48" s="422"/>
      <c r="HC48" s="422"/>
      <c r="HD48" s="422"/>
      <c r="HE48" s="422"/>
      <c r="HF48" s="422"/>
      <c r="HG48" s="422"/>
      <c r="HH48" s="422"/>
      <c r="HI48" s="422"/>
      <c r="HJ48" s="422"/>
      <c r="HK48" s="422"/>
      <c r="HL48" s="422"/>
      <c r="HM48" s="422"/>
      <c r="HN48" s="422"/>
      <c r="HO48" s="422"/>
      <c r="HP48" s="422"/>
      <c r="HQ48" s="422"/>
      <c r="HR48" s="422"/>
      <c r="HS48" s="422"/>
      <c r="HT48" s="422"/>
      <c r="HU48" s="422"/>
      <c r="HV48" s="422"/>
      <c r="HW48" s="422"/>
      <c r="HX48" s="422"/>
      <c r="HY48" s="422"/>
      <c r="HZ48" s="422"/>
      <c r="IA48" s="422"/>
      <c r="IB48" s="422"/>
      <c r="IC48" s="422"/>
      <c r="ID48" s="422"/>
      <c r="IE48" s="422"/>
      <c r="IF48" s="422"/>
      <c r="IG48" s="422"/>
      <c r="IH48" s="422"/>
      <c r="II48" s="422"/>
      <c r="IJ48" s="422"/>
      <c r="IK48" s="422"/>
      <c r="IL48" s="422"/>
      <c r="IM48" s="15"/>
      <c r="IN48" s="15"/>
      <c r="IO48" s="15"/>
      <c r="IP48" s="15"/>
      <c r="IQ48" s="15"/>
      <c r="IR48" s="15"/>
      <c r="IS48" s="15"/>
      <c r="IT48" s="15"/>
    </row>
    <row r="49" spans="1:254" s="174" customFormat="1" ht="12" customHeight="1" x14ac:dyDescent="0.15">
      <c r="A49" s="415" t="s">
        <v>793</v>
      </c>
      <c r="B49" s="416"/>
      <c r="C49" s="181" t="s">
        <v>932</v>
      </c>
      <c r="D49" s="182" t="s">
        <v>933</v>
      </c>
      <c r="E49" s="417" t="str">
        <f>IF(F48&lt;100,IF(F48&lt;50,"通常状態",IF(F48&lt;60,"暴走Lv1 ",IF(F48&lt;70,"暴走Lv2",IF(F48&lt;80,"暴走Lv3",IF(F48&lt;90,"暴走Lv4","暴走Lv5"))))),IF(F48&lt;110,"臨界Lv1",IF(F48&lt;120,"臨界Lv2",IF(F48&lt;130,"臨界Lv3",IF(F48&lt;140,"臨界Lv4",IF(F48&lt;150,"臨界Lv5",IF(F48&lt;150,"活性Lv5","因子崩壊")))))))</f>
        <v>通常状態</v>
      </c>
      <c r="F49" s="417"/>
      <c r="G49" s="418" t="s">
        <v>15</v>
      </c>
      <c r="H49" s="418"/>
      <c r="I49" s="426"/>
      <c r="J49" s="426"/>
      <c r="K49" s="426"/>
      <c r="L49" s="426"/>
      <c r="M49" s="432"/>
      <c r="N49" s="432"/>
      <c r="O49" s="422"/>
      <c r="P49" s="422"/>
      <c r="Q49" s="422"/>
      <c r="R49" s="422"/>
      <c r="S49" s="422"/>
      <c r="T49" s="422"/>
      <c r="U49" s="422"/>
      <c r="V49" s="422"/>
      <c r="W49" s="422"/>
      <c r="X49" s="422"/>
      <c r="Y49" s="422"/>
      <c r="Z49" s="422"/>
      <c r="AA49" s="422"/>
      <c r="AB49" s="422"/>
      <c r="AC49" s="422"/>
      <c r="AD49" s="422"/>
      <c r="AE49" s="422"/>
      <c r="AF49" s="422"/>
      <c r="AG49" s="422"/>
      <c r="AH49" s="422"/>
      <c r="AI49" s="422"/>
      <c r="AJ49" s="422"/>
      <c r="AK49" s="422"/>
      <c r="AL49" s="422"/>
      <c r="AM49" s="422"/>
      <c r="AN49" s="422"/>
      <c r="AO49" s="422"/>
      <c r="AP49" s="422"/>
      <c r="AQ49" s="422"/>
      <c r="AR49" s="422"/>
      <c r="AS49" s="422"/>
      <c r="AT49" s="422"/>
      <c r="AU49" s="422"/>
      <c r="AV49" s="422"/>
      <c r="AW49" s="422"/>
      <c r="AX49" s="422"/>
      <c r="AY49" s="422"/>
      <c r="AZ49" s="422"/>
      <c r="BA49" s="422"/>
      <c r="BB49" s="422"/>
      <c r="BC49" s="422"/>
      <c r="BD49" s="422"/>
      <c r="BE49" s="422"/>
      <c r="BF49" s="422"/>
      <c r="BG49" s="422"/>
      <c r="BH49" s="422"/>
      <c r="BI49" s="422"/>
      <c r="BJ49" s="422"/>
      <c r="BK49" s="422"/>
      <c r="BL49" s="422"/>
      <c r="BM49" s="422"/>
      <c r="BN49" s="422"/>
      <c r="BO49" s="422"/>
      <c r="BP49" s="422"/>
      <c r="BQ49" s="422"/>
      <c r="BR49" s="422"/>
      <c r="BS49" s="422"/>
      <c r="BT49" s="422"/>
      <c r="BU49" s="422"/>
      <c r="BV49" s="422"/>
      <c r="BW49" s="422"/>
      <c r="BX49" s="422"/>
      <c r="BY49" s="422"/>
      <c r="BZ49" s="422"/>
      <c r="CA49" s="422"/>
      <c r="CB49" s="422"/>
      <c r="CC49" s="422"/>
      <c r="CD49" s="422"/>
      <c r="CE49" s="422"/>
      <c r="CF49" s="422"/>
      <c r="CG49" s="422"/>
      <c r="CH49" s="422"/>
      <c r="CI49" s="422"/>
      <c r="CJ49" s="422"/>
      <c r="CK49" s="422"/>
      <c r="CL49" s="422"/>
      <c r="CM49" s="422"/>
      <c r="CN49" s="422"/>
      <c r="CO49" s="422"/>
      <c r="CP49" s="422"/>
      <c r="CQ49" s="422"/>
      <c r="CR49" s="422"/>
      <c r="CS49" s="422"/>
      <c r="CT49" s="422"/>
      <c r="CU49" s="422"/>
      <c r="CV49" s="422"/>
      <c r="CW49" s="422"/>
      <c r="CX49" s="422"/>
      <c r="CY49" s="422"/>
      <c r="CZ49" s="422"/>
      <c r="DA49" s="422"/>
      <c r="DB49" s="422"/>
      <c r="DC49" s="422"/>
      <c r="DD49" s="422"/>
      <c r="DE49" s="422"/>
      <c r="DF49" s="422"/>
      <c r="DG49" s="422"/>
      <c r="DH49" s="422"/>
      <c r="DI49" s="422"/>
      <c r="DJ49" s="422"/>
      <c r="DK49" s="422"/>
      <c r="DL49" s="422"/>
      <c r="DM49" s="422"/>
      <c r="DN49" s="422"/>
      <c r="DO49" s="422"/>
      <c r="DP49" s="422"/>
      <c r="DQ49" s="422"/>
      <c r="DR49" s="422"/>
      <c r="DS49" s="422"/>
      <c r="DT49" s="422"/>
      <c r="DU49" s="422"/>
      <c r="DV49" s="422"/>
      <c r="DW49" s="422"/>
      <c r="DX49" s="422"/>
      <c r="DY49" s="422"/>
      <c r="DZ49" s="422"/>
      <c r="EA49" s="422"/>
      <c r="EB49" s="422"/>
      <c r="EC49" s="422"/>
      <c r="ED49" s="422"/>
      <c r="EE49" s="422"/>
      <c r="EF49" s="422"/>
      <c r="EG49" s="422"/>
      <c r="EH49" s="422"/>
      <c r="EI49" s="422"/>
      <c r="EJ49" s="422"/>
      <c r="EK49" s="422"/>
      <c r="EL49" s="422"/>
      <c r="EM49" s="422"/>
      <c r="EN49" s="422"/>
      <c r="EO49" s="422"/>
      <c r="EP49" s="422"/>
      <c r="EQ49" s="422"/>
      <c r="ER49" s="422"/>
      <c r="ES49" s="422"/>
      <c r="ET49" s="422"/>
      <c r="EU49" s="422"/>
      <c r="EV49" s="422"/>
      <c r="EW49" s="422"/>
      <c r="EX49" s="422"/>
      <c r="EY49" s="422"/>
      <c r="EZ49" s="422"/>
      <c r="FA49" s="422"/>
      <c r="FB49" s="422"/>
      <c r="FC49" s="422"/>
      <c r="FD49" s="422"/>
      <c r="FE49" s="422"/>
      <c r="FF49" s="422"/>
      <c r="FG49" s="422"/>
      <c r="FH49" s="422"/>
      <c r="FI49" s="422"/>
      <c r="FJ49" s="422"/>
      <c r="FK49" s="422"/>
      <c r="FL49" s="422"/>
      <c r="FM49" s="422"/>
      <c r="FN49" s="422"/>
      <c r="FO49" s="422"/>
      <c r="FP49" s="422"/>
      <c r="FQ49" s="422"/>
      <c r="FR49" s="422"/>
      <c r="FS49" s="422"/>
      <c r="FT49" s="422"/>
      <c r="FU49" s="422"/>
      <c r="FV49" s="422"/>
      <c r="FW49" s="422"/>
      <c r="FX49" s="422"/>
      <c r="FY49" s="422"/>
      <c r="FZ49" s="422"/>
      <c r="GA49" s="422"/>
      <c r="GB49" s="422"/>
      <c r="GC49" s="422"/>
      <c r="GD49" s="422"/>
      <c r="GE49" s="422"/>
      <c r="GF49" s="422"/>
      <c r="GG49" s="422"/>
      <c r="GH49" s="422"/>
      <c r="GI49" s="422"/>
      <c r="GJ49" s="422"/>
      <c r="GK49" s="422"/>
      <c r="GL49" s="422"/>
      <c r="GM49" s="422"/>
      <c r="GN49" s="422"/>
      <c r="GO49" s="422"/>
      <c r="GP49" s="422"/>
      <c r="GQ49" s="422"/>
      <c r="GR49" s="422"/>
      <c r="GS49" s="422"/>
      <c r="GT49" s="422"/>
      <c r="GU49" s="422"/>
      <c r="GV49" s="422"/>
      <c r="GW49" s="422"/>
      <c r="GX49" s="422"/>
      <c r="GY49" s="422"/>
      <c r="GZ49" s="422"/>
      <c r="HA49" s="422"/>
      <c r="HB49" s="422"/>
      <c r="HC49" s="422"/>
      <c r="HD49" s="422"/>
      <c r="HE49" s="422"/>
      <c r="HF49" s="422"/>
      <c r="HG49" s="422"/>
      <c r="HH49" s="422"/>
      <c r="HI49" s="422"/>
      <c r="HJ49" s="422"/>
      <c r="HK49" s="422"/>
      <c r="HL49" s="422"/>
      <c r="HM49" s="422"/>
      <c r="HN49" s="422"/>
      <c r="HO49" s="422"/>
      <c r="HP49" s="422"/>
      <c r="HQ49" s="422"/>
      <c r="HR49" s="422"/>
      <c r="HS49" s="422"/>
      <c r="HT49" s="422"/>
      <c r="HU49" s="422"/>
      <c r="HV49" s="422"/>
      <c r="HW49" s="422"/>
      <c r="HX49" s="422"/>
      <c r="HY49" s="422"/>
      <c r="HZ49" s="422"/>
      <c r="IA49" s="422"/>
      <c r="IB49" s="422"/>
      <c r="IC49" s="422"/>
      <c r="ID49" s="422"/>
      <c r="IE49" s="422"/>
      <c r="IF49" s="422"/>
      <c r="IG49" s="422"/>
      <c r="IH49" s="422"/>
      <c r="II49" s="422"/>
      <c r="IJ49" s="422"/>
      <c r="IK49" s="422"/>
      <c r="IL49" s="422"/>
      <c r="IM49" s="15"/>
      <c r="IN49" s="15"/>
      <c r="IO49" s="15"/>
      <c r="IP49" s="15"/>
      <c r="IQ49" s="15"/>
      <c r="IR49" s="15"/>
      <c r="IS49" s="15"/>
      <c r="IT49" s="15"/>
    </row>
    <row r="50" spans="1:254" s="174" customFormat="1" ht="12.95" customHeight="1" x14ac:dyDescent="0.15">
      <c r="A50" s="415"/>
      <c r="B50" s="416"/>
      <c r="C50" s="183">
        <f>SUM(L53:IQ53)</f>
        <v>0</v>
      </c>
      <c r="D50" s="184">
        <f>ROUNDDOWN((C50/5),0)+SUM(I51:IL51)</f>
        <v>0</v>
      </c>
      <c r="E50" s="419" t="str">
        <f>IF(F48&lt;50,"未活性",IF(F48&lt;60,"活性Lv1",IF(F48&lt;70,"活性Lv2",IF(F48&lt;80,"活性Lv3",IF(F48&lt;90,"活性Lv4",IF(F48&lt;100,"活性Lv5",IF(F48&lt;150,"活性Lv5","強制キャラロスト")))))))</f>
        <v>未活性</v>
      </c>
      <c r="F50" s="419"/>
      <c r="G50" s="420" t="s">
        <v>19</v>
      </c>
      <c r="H50" s="420"/>
      <c r="I50" s="426"/>
      <c r="J50" s="426"/>
      <c r="K50" s="426"/>
      <c r="L50" s="426"/>
      <c r="M50" s="432"/>
      <c r="N50" s="432"/>
      <c r="O50" s="422"/>
      <c r="P50" s="422"/>
      <c r="Q50" s="422"/>
      <c r="R50" s="422"/>
      <c r="S50" s="422"/>
      <c r="T50" s="422"/>
      <c r="U50" s="422"/>
      <c r="V50" s="422"/>
      <c r="W50" s="422"/>
      <c r="X50" s="422"/>
      <c r="Y50" s="422"/>
      <c r="Z50" s="422"/>
      <c r="AA50" s="422"/>
      <c r="AB50" s="422"/>
      <c r="AC50" s="422"/>
      <c r="AD50" s="422"/>
      <c r="AE50" s="422"/>
      <c r="AF50" s="422"/>
      <c r="AG50" s="422"/>
      <c r="AH50" s="422"/>
      <c r="AI50" s="422"/>
      <c r="AJ50" s="422"/>
      <c r="AK50" s="422"/>
      <c r="AL50" s="422"/>
      <c r="AM50" s="422"/>
      <c r="AN50" s="422"/>
      <c r="AO50" s="422"/>
      <c r="AP50" s="422"/>
      <c r="AQ50" s="422"/>
      <c r="AR50" s="422"/>
      <c r="AS50" s="422"/>
      <c r="AT50" s="422"/>
      <c r="AU50" s="422"/>
      <c r="AV50" s="422"/>
      <c r="AW50" s="422"/>
      <c r="AX50" s="422"/>
      <c r="AY50" s="422"/>
      <c r="AZ50" s="422"/>
      <c r="BA50" s="422"/>
      <c r="BB50" s="422"/>
      <c r="BC50" s="422"/>
      <c r="BD50" s="422"/>
      <c r="BE50" s="422"/>
      <c r="BF50" s="422"/>
      <c r="BG50" s="422"/>
      <c r="BH50" s="422"/>
      <c r="BI50" s="422"/>
      <c r="BJ50" s="422"/>
      <c r="BK50" s="422"/>
      <c r="BL50" s="422"/>
      <c r="BM50" s="422"/>
      <c r="BN50" s="422"/>
      <c r="BO50" s="422"/>
      <c r="BP50" s="422"/>
      <c r="BQ50" s="422"/>
      <c r="BR50" s="422"/>
      <c r="BS50" s="422"/>
      <c r="BT50" s="422"/>
      <c r="BU50" s="422"/>
      <c r="BV50" s="422"/>
      <c r="BW50" s="422"/>
      <c r="BX50" s="422"/>
      <c r="BY50" s="422"/>
      <c r="BZ50" s="422"/>
      <c r="CA50" s="422"/>
      <c r="CB50" s="422"/>
      <c r="CC50" s="422"/>
      <c r="CD50" s="422"/>
      <c r="CE50" s="422"/>
      <c r="CF50" s="422"/>
      <c r="CG50" s="422"/>
      <c r="CH50" s="422"/>
      <c r="CI50" s="422"/>
      <c r="CJ50" s="422"/>
      <c r="CK50" s="422"/>
      <c r="CL50" s="422"/>
      <c r="CM50" s="422"/>
      <c r="CN50" s="422"/>
      <c r="CO50" s="422"/>
      <c r="CP50" s="422"/>
      <c r="CQ50" s="422"/>
      <c r="CR50" s="422"/>
      <c r="CS50" s="422"/>
      <c r="CT50" s="422"/>
      <c r="CU50" s="422"/>
      <c r="CV50" s="422"/>
      <c r="CW50" s="422"/>
      <c r="CX50" s="422"/>
      <c r="CY50" s="422"/>
      <c r="CZ50" s="422"/>
      <c r="DA50" s="422"/>
      <c r="DB50" s="422"/>
      <c r="DC50" s="422"/>
      <c r="DD50" s="422"/>
      <c r="DE50" s="422"/>
      <c r="DF50" s="422"/>
      <c r="DG50" s="422"/>
      <c r="DH50" s="422"/>
      <c r="DI50" s="422"/>
      <c r="DJ50" s="422"/>
      <c r="DK50" s="422"/>
      <c r="DL50" s="422"/>
      <c r="DM50" s="422"/>
      <c r="DN50" s="422"/>
      <c r="DO50" s="422"/>
      <c r="DP50" s="422"/>
      <c r="DQ50" s="422"/>
      <c r="DR50" s="422"/>
      <c r="DS50" s="422"/>
      <c r="DT50" s="422"/>
      <c r="DU50" s="422"/>
      <c r="DV50" s="422"/>
      <c r="DW50" s="422"/>
      <c r="DX50" s="422"/>
      <c r="DY50" s="422"/>
      <c r="DZ50" s="422"/>
      <c r="EA50" s="422"/>
      <c r="EB50" s="422"/>
      <c r="EC50" s="422"/>
      <c r="ED50" s="422"/>
      <c r="EE50" s="422"/>
      <c r="EF50" s="422"/>
      <c r="EG50" s="422"/>
      <c r="EH50" s="422"/>
      <c r="EI50" s="422"/>
      <c r="EJ50" s="422"/>
      <c r="EK50" s="422"/>
      <c r="EL50" s="422"/>
      <c r="EM50" s="422"/>
      <c r="EN50" s="422"/>
      <c r="EO50" s="422"/>
      <c r="EP50" s="422"/>
      <c r="EQ50" s="422"/>
      <c r="ER50" s="422"/>
      <c r="ES50" s="422"/>
      <c r="ET50" s="422"/>
      <c r="EU50" s="422"/>
      <c r="EV50" s="422"/>
      <c r="EW50" s="422"/>
      <c r="EX50" s="422"/>
      <c r="EY50" s="422"/>
      <c r="EZ50" s="422"/>
      <c r="FA50" s="422"/>
      <c r="FB50" s="422"/>
      <c r="FC50" s="422"/>
      <c r="FD50" s="422"/>
      <c r="FE50" s="422"/>
      <c r="FF50" s="422"/>
      <c r="FG50" s="422"/>
      <c r="FH50" s="422"/>
      <c r="FI50" s="422"/>
      <c r="FJ50" s="422"/>
      <c r="FK50" s="422"/>
      <c r="FL50" s="422"/>
      <c r="FM50" s="422"/>
      <c r="FN50" s="422"/>
      <c r="FO50" s="422"/>
      <c r="FP50" s="422"/>
      <c r="FQ50" s="422"/>
      <c r="FR50" s="422"/>
      <c r="FS50" s="422"/>
      <c r="FT50" s="422"/>
      <c r="FU50" s="422"/>
      <c r="FV50" s="422"/>
      <c r="FW50" s="422"/>
      <c r="FX50" s="422"/>
      <c r="FY50" s="422"/>
      <c r="FZ50" s="422"/>
      <c r="GA50" s="422"/>
      <c r="GB50" s="422"/>
      <c r="GC50" s="422"/>
      <c r="GD50" s="422"/>
      <c r="GE50" s="422"/>
      <c r="GF50" s="422"/>
      <c r="GG50" s="422"/>
      <c r="GH50" s="422"/>
      <c r="GI50" s="422"/>
      <c r="GJ50" s="422"/>
      <c r="GK50" s="422"/>
      <c r="GL50" s="422"/>
      <c r="GM50" s="422"/>
      <c r="GN50" s="422"/>
      <c r="GO50" s="422"/>
      <c r="GP50" s="422"/>
      <c r="GQ50" s="422"/>
      <c r="GR50" s="422"/>
      <c r="GS50" s="422"/>
      <c r="GT50" s="422"/>
      <c r="GU50" s="422"/>
      <c r="GV50" s="422"/>
      <c r="GW50" s="422"/>
      <c r="GX50" s="422"/>
      <c r="GY50" s="422"/>
      <c r="GZ50" s="422"/>
      <c r="HA50" s="422"/>
      <c r="HB50" s="422"/>
      <c r="HC50" s="422"/>
      <c r="HD50" s="422"/>
      <c r="HE50" s="422"/>
      <c r="HF50" s="422"/>
      <c r="HG50" s="422"/>
      <c r="HH50" s="422"/>
      <c r="HI50" s="422"/>
      <c r="HJ50" s="422"/>
      <c r="HK50" s="422"/>
      <c r="HL50" s="422"/>
      <c r="HM50" s="422"/>
      <c r="HN50" s="422"/>
      <c r="HO50" s="422"/>
      <c r="HP50" s="422"/>
      <c r="HQ50" s="422"/>
      <c r="HR50" s="422"/>
      <c r="HS50" s="422"/>
      <c r="HT50" s="422"/>
      <c r="HU50" s="422"/>
      <c r="HV50" s="422"/>
      <c r="HW50" s="422"/>
      <c r="HX50" s="422"/>
      <c r="HY50" s="422"/>
      <c r="HZ50" s="422"/>
      <c r="IA50" s="422"/>
      <c r="IB50" s="422"/>
      <c r="IC50" s="422"/>
      <c r="ID50" s="422"/>
      <c r="IE50" s="422"/>
      <c r="IF50" s="422"/>
      <c r="IG50" s="422"/>
      <c r="IH50" s="422"/>
      <c r="II50" s="422"/>
      <c r="IJ50" s="422"/>
      <c r="IK50" s="422"/>
      <c r="IL50" s="422"/>
      <c r="IM50" s="15"/>
      <c r="IN50" s="15"/>
      <c r="IO50" s="15"/>
      <c r="IP50" s="15"/>
      <c r="IQ50" s="15"/>
      <c r="IR50" s="15"/>
      <c r="IS50" s="15"/>
      <c r="IT50" s="15"/>
    </row>
    <row r="51" spans="1:254" s="190" customFormat="1" ht="12.95" customHeight="1" x14ac:dyDescent="0.15">
      <c r="A51" s="185" t="s">
        <v>801</v>
      </c>
      <c r="B51" s="186"/>
      <c r="C51" s="410" t="str">
        <f>IF(G46="反応型",IF(50&gt;F48,"+0",IF(60&gt;F48,"+1",IF(70&gt;F48,"+2",IF(F48&gt;=70,"+3")))),"活性補正")</f>
        <v>活性補正</v>
      </c>
      <c r="D51" s="187" t="s">
        <v>802</v>
      </c>
      <c r="E51" s="188"/>
      <c r="F51" s="411" t="str">
        <f>IF(G46="増強型",IF(50&gt;F48,"+0",IF(60&gt;F48,"+1",IF(70&gt;F48,"+2",IF(F48&gt;=70,"+3")))),"活性補正")</f>
        <v>活性補正</v>
      </c>
      <c r="G51" s="412" t="s">
        <v>934</v>
      </c>
      <c r="H51" s="412"/>
      <c r="I51" s="413" t="s">
        <v>935</v>
      </c>
      <c r="J51" s="413"/>
      <c r="K51" s="413"/>
      <c r="L51" s="413"/>
      <c r="M51" s="189" t="s">
        <v>936</v>
      </c>
      <c r="N51" s="190" t="s">
        <v>926</v>
      </c>
      <c r="IL51" s="191"/>
      <c r="IM51" s="15"/>
      <c r="IN51" s="15"/>
      <c r="IO51" s="15"/>
      <c r="IP51" s="15"/>
      <c r="IQ51" s="15"/>
      <c r="IR51" s="15"/>
      <c r="IS51" s="15"/>
      <c r="IT51" s="15"/>
    </row>
    <row r="52" spans="1:254" s="201" customFormat="1" ht="12.95" customHeight="1" x14ac:dyDescent="0.15">
      <c r="A52" s="192" t="s">
        <v>885</v>
      </c>
      <c r="B52" s="193"/>
      <c r="C52" s="410"/>
      <c r="D52" s="194" t="s">
        <v>807</v>
      </c>
      <c r="E52" s="195"/>
      <c r="F52" s="411"/>
      <c r="G52" s="414" t="s">
        <v>937</v>
      </c>
      <c r="H52" s="414"/>
      <c r="I52" s="196" t="s">
        <v>938</v>
      </c>
      <c r="J52" s="197"/>
      <c r="K52" s="197" t="s">
        <v>939</v>
      </c>
      <c r="L52" s="198"/>
      <c r="M52" s="199" t="s">
        <v>936</v>
      </c>
      <c r="N52" s="200" t="s">
        <v>926</v>
      </c>
      <c r="O52" s="200"/>
      <c r="IL52" s="202"/>
      <c r="IM52" s="15"/>
      <c r="IN52" s="15"/>
      <c r="IO52" s="15"/>
      <c r="IP52" s="15"/>
      <c r="IQ52" s="15"/>
      <c r="IR52" s="15"/>
      <c r="IS52" s="15"/>
      <c r="IT52" s="15"/>
    </row>
    <row r="53" spans="1:254" s="208" customFormat="1" ht="12" customHeight="1" x14ac:dyDescent="0.15">
      <c r="A53" s="192" t="s">
        <v>886</v>
      </c>
      <c r="B53" s="193"/>
      <c r="C53" s="410"/>
      <c r="D53" s="194" t="s">
        <v>813</v>
      </c>
      <c r="E53" s="195"/>
      <c r="F53" s="411"/>
      <c r="G53" s="408" t="s">
        <v>940</v>
      </c>
      <c r="H53" s="408"/>
      <c r="I53" s="203"/>
      <c r="J53" s="204"/>
      <c r="K53" s="204"/>
      <c r="L53" s="205"/>
      <c r="M53" s="206" t="s">
        <v>941</v>
      </c>
      <c r="N53" s="207" t="s">
        <v>926</v>
      </c>
      <c r="O53" s="207"/>
      <c r="IL53" s="209"/>
      <c r="IM53" s="15"/>
      <c r="IN53" s="15"/>
      <c r="IO53" s="15"/>
      <c r="IP53" s="15"/>
      <c r="IQ53" s="15"/>
      <c r="IR53" s="15"/>
      <c r="IS53" s="15"/>
      <c r="IT53" s="15"/>
    </row>
    <row r="54" spans="1:254" s="208" customFormat="1" ht="12.95" customHeight="1" x14ac:dyDescent="0.15">
      <c r="A54" s="192" t="s">
        <v>363</v>
      </c>
      <c r="B54" s="210"/>
      <c r="C54" s="407" t="str">
        <f>IF(G46="増強型",IF(50&gt;F48,"+0",IF(60&gt;F48,"+1",IF(70&gt;F48,"+2",IF(F48&gt;=70,"+3")))),"活性補正")</f>
        <v>活性補正</v>
      </c>
      <c r="D54" s="194" t="s">
        <v>942</v>
      </c>
      <c r="E54" s="210"/>
      <c r="F54" s="211"/>
      <c r="G54" s="408" t="s">
        <v>943</v>
      </c>
      <c r="H54" s="408"/>
      <c r="I54" s="212" t="s">
        <v>944</v>
      </c>
      <c r="J54" s="213"/>
      <c r="K54" s="207" t="s">
        <v>945</v>
      </c>
      <c r="L54" s="214"/>
      <c r="M54" s="215" t="s">
        <v>941</v>
      </c>
      <c r="N54" s="207" t="s">
        <v>926</v>
      </c>
      <c r="O54" s="207"/>
      <c r="IL54" s="209"/>
      <c r="IM54" s="15"/>
      <c r="IN54" s="15"/>
      <c r="IO54" s="15"/>
      <c r="IP54" s="15"/>
      <c r="IQ54" s="15"/>
      <c r="IR54" s="15"/>
      <c r="IS54" s="15"/>
      <c r="IT54" s="15"/>
    </row>
    <row r="55" spans="1:254" s="222" customFormat="1" ht="12.95" customHeight="1" x14ac:dyDescent="0.15">
      <c r="A55" s="192" t="s">
        <v>946</v>
      </c>
      <c r="B55" s="210"/>
      <c r="C55" s="407"/>
      <c r="D55" s="194" t="s">
        <v>947</v>
      </c>
      <c r="E55" s="210"/>
      <c r="F55" s="216" t="str">
        <f>IF(G46="覚醒型",IF(50&gt;F48,"+0",IF(60&gt;F48,"+1",IF(70&gt;F48,"+2",IF(F48&gt;=70,"+3")))),"活性補正")</f>
        <v>活性補正</v>
      </c>
      <c r="G55" s="409" t="s">
        <v>948</v>
      </c>
      <c r="H55" s="409"/>
      <c r="I55" s="217" t="s">
        <v>949</v>
      </c>
      <c r="J55" s="218"/>
      <c r="K55" s="218" t="s">
        <v>950</v>
      </c>
      <c r="L55" s="219">
        <f>L54</f>
        <v>0</v>
      </c>
      <c r="M55" s="220" t="s">
        <v>936</v>
      </c>
      <c r="N55" s="221" t="s">
        <v>926</v>
      </c>
      <c r="O55" s="221"/>
      <c r="IL55" s="223"/>
      <c r="IM55" s="15"/>
      <c r="IN55" s="15"/>
      <c r="IO55" s="15"/>
      <c r="IP55" s="15"/>
      <c r="IQ55" s="15"/>
      <c r="IR55" s="15"/>
      <c r="IS55" s="15"/>
      <c r="IT55" s="15"/>
    </row>
    <row r="56" spans="1:254" s="15" customFormat="1" ht="12" customHeight="1" x14ac:dyDescent="0.15">
      <c r="A56" s="224" t="s">
        <v>34</v>
      </c>
      <c r="B56" s="225"/>
      <c r="C56" s="224" t="s">
        <v>136</v>
      </c>
      <c r="D56" s="225"/>
      <c r="E56" s="226" t="s">
        <v>209</v>
      </c>
      <c r="F56" s="225"/>
      <c r="G56" s="226" t="s">
        <v>287</v>
      </c>
      <c r="H56" s="225"/>
      <c r="I56" s="226" t="s">
        <v>348</v>
      </c>
      <c r="J56" s="225"/>
      <c r="K56" s="226" t="s">
        <v>402</v>
      </c>
      <c r="L56" s="227"/>
    </row>
    <row r="57" spans="1:254" s="15" customFormat="1" ht="12" customHeight="1" x14ac:dyDescent="0.15">
      <c r="A57" s="228" t="s">
        <v>92</v>
      </c>
      <c r="B57" s="229"/>
      <c r="C57" s="228" t="s">
        <v>171</v>
      </c>
      <c r="D57" s="229"/>
      <c r="E57" s="230" t="s">
        <v>248</v>
      </c>
      <c r="F57" s="229"/>
      <c r="G57" s="230" t="s">
        <v>320</v>
      </c>
      <c r="H57" s="229"/>
      <c r="I57" s="230" t="s">
        <v>375</v>
      </c>
      <c r="J57" s="229"/>
      <c r="K57" s="230" t="s">
        <v>298</v>
      </c>
      <c r="L57" s="231"/>
    </row>
    <row r="59" spans="1:254" s="174" customFormat="1" ht="12.95" customHeight="1" x14ac:dyDescent="0.15">
      <c r="A59" s="434" t="s">
        <v>711</v>
      </c>
      <c r="B59" s="434"/>
      <c r="C59" s="434"/>
      <c r="D59" s="434"/>
      <c r="E59" s="435" t="s">
        <v>712</v>
      </c>
      <c r="F59" s="435"/>
      <c r="G59" s="431" t="s">
        <v>1</v>
      </c>
      <c r="H59" s="431"/>
      <c r="I59" s="431" t="s">
        <v>930</v>
      </c>
      <c r="J59" s="431"/>
      <c r="K59" s="431"/>
      <c r="L59" s="431"/>
      <c r="M59" s="432" t="s">
        <v>925</v>
      </c>
      <c r="N59" s="433" t="s">
        <v>926</v>
      </c>
      <c r="O59" s="422"/>
      <c r="P59" s="422"/>
      <c r="Q59" s="422"/>
      <c r="R59" s="422"/>
      <c r="S59" s="422"/>
      <c r="T59" s="422"/>
      <c r="U59" s="422"/>
      <c r="V59" s="422"/>
      <c r="W59" s="422"/>
      <c r="X59" s="422"/>
      <c r="Y59" s="422"/>
      <c r="Z59" s="422"/>
      <c r="AA59" s="422"/>
      <c r="AB59" s="422"/>
      <c r="AC59" s="422"/>
      <c r="AD59" s="422"/>
      <c r="AE59" s="422"/>
      <c r="AF59" s="422"/>
      <c r="AG59" s="422"/>
      <c r="AH59" s="422"/>
      <c r="AI59" s="422"/>
      <c r="AJ59" s="422"/>
      <c r="AK59" s="422"/>
      <c r="AL59" s="422"/>
      <c r="AM59" s="422"/>
      <c r="AN59" s="422"/>
      <c r="AO59" s="422"/>
      <c r="AP59" s="422"/>
      <c r="AQ59" s="422"/>
      <c r="AR59" s="422"/>
      <c r="AS59" s="422"/>
      <c r="AT59" s="422"/>
      <c r="AU59" s="422"/>
      <c r="AV59" s="422"/>
      <c r="AW59" s="422"/>
      <c r="AX59" s="422"/>
      <c r="AY59" s="422"/>
      <c r="AZ59" s="422"/>
      <c r="BA59" s="422"/>
      <c r="BB59" s="422"/>
      <c r="BC59" s="422"/>
      <c r="BD59" s="422"/>
      <c r="BE59" s="422"/>
      <c r="BF59" s="422"/>
      <c r="BG59" s="422"/>
      <c r="BH59" s="422"/>
      <c r="BI59" s="422"/>
      <c r="BJ59" s="422"/>
      <c r="BK59" s="422"/>
      <c r="BL59" s="422"/>
      <c r="BM59" s="422"/>
      <c r="BN59" s="422"/>
      <c r="BO59" s="422"/>
      <c r="BP59" s="422"/>
      <c r="BQ59" s="422"/>
      <c r="BR59" s="422"/>
      <c r="BS59" s="422"/>
      <c r="BT59" s="422"/>
      <c r="BU59" s="422"/>
      <c r="BV59" s="422"/>
      <c r="BW59" s="422"/>
      <c r="BX59" s="422"/>
      <c r="BY59" s="422"/>
      <c r="BZ59" s="422"/>
      <c r="CA59" s="422"/>
      <c r="CB59" s="422"/>
      <c r="CC59" s="422"/>
      <c r="CD59" s="422"/>
      <c r="CE59" s="422"/>
      <c r="CF59" s="422"/>
      <c r="CG59" s="422"/>
      <c r="CH59" s="422"/>
      <c r="CI59" s="422"/>
      <c r="CJ59" s="422"/>
      <c r="CK59" s="422"/>
      <c r="CL59" s="422"/>
      <c r="CM59" s="422"/>
      <c r="CN59" s="422"/>
      <c r="CO59" s="422"/>
      <c r="CP59" s="422"/>
      <c r="CQ59" s="422"/>
      <c r="CR59" s="422"/>
      <c r="CS59" s="422"/>
      <c r="CT59" s="422"/>
      <c r="CU59" s="422"/>
      <c r="CV59" s="422"/>
      <c r="CW59" s="422"/>
      <c r="CX59" s="422"/>
      <c r="CY59" s="422"/>
      <c r="CZ59" s="422"/>
      <c r="DA59" s="422"/>
      <c r="DB59" s="422"/>
      <c r="DC59" s="422"/>
      <c r="DD59" s="422"/>
      <c r="DE59" s="422"/>
      <c r="DF59" s="422"/>
      <c r="DG59" s="422"/>
      <c r="DH59" s="422"/>
      <c r="DI59" s="422"/>
      <c r="DJ59" s="422"/>
      <c r="DK59" s="422"/>
      <c r="DL59" s="422"/>
      <c r="DM59" s="422"/>
      <c r="DN59" s="422"/>
      <c r="DO59" s="422"/>
      <c r="DP59" s="422"/>
      <c r="DQ59" s="422"/>
      <c r="DR59" s="422"/>
      <c r="DS59" s="422"/>
      <c r="DT59" s="422"/>
      <c r="DU59" s="422"/>
      <c r="DV59" s="422"/>
      <c r="DW59" s="422"/>
      <c r="DX59" s="422"/>
      <c r="DY59" s="422"/>
      <c r="DZ59" s="422"/>
      <c r="EA59" s="422"/>
      <c r="EB59" s="422"/>
      <c r="EC59" s="422"/>
      <c r="ED59" s="422"/>
      <c r="EE59" s="422"/>
      <c r="EF59" s="422"/>
      <c r="EG59" s="422"/>
      <c r="EH59" s="422"/>
      <c r="EI59" s="422"/>
      <c r="EJ59" s="422"/>
      <c r="EK59" s="422"/>
      <c r="EL59" s="422"/>
      <c r="EM59" s="422"/>
      <c r="EN59" s="422"/>
      <c r="EO59" s="422"/>
      <c r="EP59" s="422"/>
      <c r="EQ59" s="422"/>
      <c r="ER59" s="422"/>
      <c r="ES59" s="422"/>
      <c r="ET59" s="422"/>
      <c r="EU59" s="422"/>
      <c r="EV59" s="422"/>
      <c r="EW59" s="422"/>
      <c r="EX59" s="422"/>
      <c r="EY59" s="422"/>
      <c r="EZ59" s="422"/>
      <c r="FA59" s="422"/>
      <c r="FB59" s="422"/>
      <c r="FC59" s="422"/>
      <c r="FD59" s="422"/>
      <c r="FE59" s="422"/>
      <c r="FF59" s="422"/>
      <c r="FG59" s="422"/>
      <c r="FH59" s="422"/>
      <c r="FI59" s="422"/>
      <c r="FJ59" s="422"/>
      <c r="FK59" s="422"/>
      <c r="FL59" s="422"/>
      <c r="FM59" s="422"/>
      <c r="FN59" s="422"/>
      <c r="FO59" s="422"/>
      <c r="FP59" s="422"/>
      <c r="FQ59" s="422"/>
      <c r="FR59" s="422"/>
      <c r="FS59" s="422"/>
      <c r="FT59" s="422"/>
      <c r="FU59" s="422"/>
      <c r="FV59" s="422"/>
      <c r="FW59" s="422"/>
      <c r="FX59" s="422"/>
      <c r="FY59" s="422"/>
      <c r="FZ59" s="422"/>
      <c r="GA59" s="422"/>
      <c r="GB59" s="422"/>
      <c r="GC59" s="422"/>
      <c r="GD59" s="422"/>
      <c r="GE59" s="422"/>
      <c r="GF59" s="422"/>
      <c r="GG59" s="422"/>
      <c r="GH59" s="422"/>
      <c r="GI59" s="422"/>
      <c r="GJ59" s="422"/>
      <c r="GK59" s="422"/>
      <c r="GL59" s="422"/>
      <c r="GM59" s="422"/>
      <c r="GN59" s="422"/>
      <c r="GO59" s="422"/>
      <c r="GP59" s="422"/>
      <c r="GQ59" s="422"/>
      <c r="GR59" s="422"/>
      <c r="GS59" s="422"/>
      <c r="GT59" s="422"/>
      <c r="GU59" s="422"/>
      <c r="GV59" s="422"/>
      <c r="GW59" s="422"/>
      <c r="GX59" s="422"/>
      <c r="GY59" s="422"/>
      <c r="GZ59" s="422"/>
      <c r="HA59" s="422"/>
      <c r="HB59" s="422"/>
      <c r="HC59" s="422"/>
      <c r="HD59" s="422"/>
      <c r="HE59" s="422"/>
      <c r="HF59" s="422"/>
      <c r="HG59" s="422"/>
      <c r="HH59" s="422"/>
      <c r="HI59" s="422"/>
      <c r="HJ59" s="422"/>
      <c r="HK59" s="422"/>
      <c r="HL59" s="422"/>
      <c r="HM59" s="422"/>
      <c r="HN59" s="422"/>
      <c r="HO59" s="422"/>
      <c r="HP59" s="422"/>
      <c r="HQ59" s="422"/>
      <c r="HR59" s="422"/>
      <c r="HS59" s="422"/>
      <c r="HT59" s="422"/>
      <c r="HU59" s="422"/>
      <c r="HV59" s="422"/>
      <c r="HW59" s="422"/>
      <c r="HX59" s="422"/>
      <c r="HY59" s="422"/>
      <c r="HZ59" s="422"/>
      <c r="IA59" s="422"/>
      <c r="IB59" s="422"/>
      <c r="IC59" s="422"/>
      <c r="ID59" s="422"/>
      <c r="IE59" s="422"/>
      <c r="IF59" s="422"/>
      <c r="IG59" s="422"/>
      <c r="IH59" s="422"/>
      <c r="II59" s="422"/>
      <c r="IJ59" s="422"/>
      <c r="IK59" s="422"/>
      <c r="IL59" s="421"/>
      <c r="IM59" s="15"/>
      <c r="IN59" s="15"/>
      <c r="IO59" s="15"/>
      <c r="IP59" s="15"/>
      <c r="IQ59" s="15"/>
      <c r="IR59" s="15"/>
      <c r="IS59" s="15"/>
      <c r="IT59" s="15"/>
    </row>
    <row r="60" spans="1:254" s="174" customFormat="1" ht="12.95" customHeight="1" x14ac:dyDescent="0.15">
      <c r="A60" s="423"/>
      <c r="B60" s="423"/>
      <c r="C60" s="423"/>
      <c r="D60" s="423"/>
      <c r="E60" s="424"/>
      <c r="F60" s="424"/>
      <c r="G60" s="425" t="s">
        <v>19</v>
      </c>
      <c r="H60" s="425"/>
      <c r="I60" s="426"/>
      <c r="J60" s="426"/>
      <c r="K60" s="426"/>
      <c r="L60" s="426"/>
      <c r="M60" s="432"/>
      <c r="N60" s="433"/>
      <c r="O60" s="422"/>
      <c r="P60" s="422"/>
      <c r="Q60" s="422"/>
      <c r="R60" s="422"/>
      <c r="S60" s="422"/>
      <c r="T60" s="422"/>
      <c r="U60" s="422"/>
      <c r="V60" s="422"/>
      <c r="W60" s="422"/>
      <c r="X60" s="422"/>
      <c r="Y60" s="422"/>
      <c r="Z60" s="422"/>
      <c r="AA60" s="422"/>
      <c r="AB60" s="422"/>
      <c r="AC60" s="422"/>
      <c r="AD60" s="422"/>
      <c r="AE60" s="422"/>
      <c r="AF60" s="422"/>
      <c r="AG60" s="422"/>
      <c r="AH60" s="422"/>
      <c r="AI60" s="422"/>
      <c r="AJ60" s="422"/>
      <c r="AK60" s="422"/>
      <c r="AL60" s="422"/>
      <c r="AM60" s="422"/>
      <c r="AN60" s="422"/>
      <c r="AO60" s="422"/>
      <c r="AP60" s="422"/>
      <c r="AQ60" s="422"/>
      <c r="AR60" s="422"/>
      <c r="AS60" s="422"/>
      <c r="AT60" s="422"/>
      <c r="AU60" s="422"/>
      <c r="AV60" s="422"/>
      <c r="AW60" s="422"/>
      <c r="AX60" s="422"/>
      <c r="AY60" s="422"/>
      <c r="AZ60" s="422"/>
      <c r="BA60" s="422"/>
      <c r="BB60" s="422"/>
      <c r="BC60" s="422"/>
      <c r="BD60" s="422"/>
      <c r="BE60" s="422"/>
      <c r="BF60" s="422"/>
      <c r="BG60" s="422"/>
      <c r="BH60" s="422"/>
      <c r="BI60" s="422"/>
      <c r="BJ60" s="422"/>
      <c r="BK60" s="422"/>
      <c r="BL60" s="422"/>
      <c r="BM60" s="422"/>
      <c r="BN60" s="422"/>
      <c r="BO60" s="422"/>
      <c r="BP60" s="422"/>
      <c r="BQ60" s="422"/>
      <c r="BR60" s="422"/>
      <c r="BS60" s="422"/>
      <c r="BT60" s="422"/>
      <c r="BU60" s="422"/>
      <c r="BV60" s="422"/>
      <c r="BW60" s="422"/>
      <c r="BX60" s="422"/>
      <c r="BY60" s="422"/>
      <c r="BZ60" s="422"/>
      <c r="CA60" s="422"/>
      <c r="CB60" s="422"/>
      <c r="CC60" s="422"/>
      <c r="CD60" s="422"/>
      <c r="CE60" s="422"/>
      <c r="CF60" s="422"/>
      <c r="CG60" s="422"/>
      <c r="CH60" s="422"/>
      <c r="CI60" s="422"/>
      <c r="CJ60" s="422"/>
      <c r="CK60" s="422"/>
      <c r="CL60" s="422"/>
      <c r="CM60" s="422"/>
      <c r="CN60" s="422"/>
      <c r="CO60" s="422"/>
      <c r="CP60" s="422"/>
      <c r="CQ60" s="422"/>
      <c r="CR60" s="422"/>
      <c r="CS60" s="422"/>
      <c r="CT60" s="422"/>
      <c r="CU60" s="422"/>
      <c r="CV60" s="422"/>
      <c r="CW60" s="422"/>
      <c r="CX60" s="422"/>
      <c r="CY60" s="422"/>
      <c r="CZ60" s="422"/>
      <c r="DA60" s="422"/>
      <c r="DB60" s="422"/>
      <c r="DC60" s="422"/>
      <c r="DD60" s="422"/>
      <c r="DE60" s="422"/>
      <c r="DF60" s="422"/>
      <c r="DG60" s="422"/>
      <c r="DH60" s="422"/>
      <c r="DI60" s="422"/>
      <c r="DJ60" s="422"/>
      <c r="DK60" s="422"/>
      <c r="DL60" s="422"/>
      <c r="DM60" s="422"/>
      <c r="DN60" s="422"/>
      <c r="DO60" s="422"/>
      <c r="DP60" s="422"/>
      <c r="DQ60" s="422"/>
      <c r="DR60" s="422"/>
      <c r="DS60" s="422"/>
      <c r="DT60" s="422"/>
      <c r="DU60" s="422"/>
      <c r="DV60" s="422"/>
      <c r="DW60" s="422"/>
      <c r="DX60" s="422"/>
      <c r="DY60" s="422"/>
      <c r="DZ60" s="422"/>
      <c r="EA60" s="422"/>
      <c r="EB60" s="422"/>
      <c r="EC60" s="422"/>
      <c r="ED60" s="422"/>
      <c r="EE60" s="422"/>
      <c r="EF60" s="422"/>
      <c r="EG60" s="422"/>
      <c r="EH60" s="422"/>
      <c r="EI60" s="422"/>
      <c r="EJ60" s="422"/>
      <c r="EK60" s="422"/>
      <c r="EL60" s="422"/>
      <c r="EM60" s="422"/>
      <c r="EN60" s="422"/>
      <c r="EO60" s="422"/>
      <c r="EP60" s="422"/>
      <c r="EQ60" s="422"/>
      <c r="ER60" s="422"/>
      <c r="ES60" s="422"/>
      <c r="ET60" s="422"/>
      <c r="EU60" s="422"/>
      <c r="EV60" s="422"/>
      <c r="EW60" s="422"/>
      <c r="EX60" s="422"/>
      <c r="EY60" s="422"/>
      <c r="EZ60" s="422"/>
      <c r="FA60" s="422"/>
      <c r="FB60" s="422"/>
      <c r="FC60" s="422"/>
      <c r="FD60" s="422"/>
      <c r="FE60" s="422"/>
      <c r="FF60" s="422"/>
      <c r="FG60" s="422"/>
      <c r="FH60" s="422"/>
      <c r="FI60" s="422"/>
      <c r="FJ60" s="422"/>
      <c r="FK60" s="422"/>
      <c r="FL60" s="422"/>
      <c r="FM60" s="422"/>
      <c r="FN60" s="422"/>
      <c r="FO60" s="422"/>
      <c r="FP60" s="422"/>
      <c r="FQ60" s="422"/>
      <c r="FR60" s="422"/>
      <c r="FS60" s="422"/>
      <c r="FT60" s="422"/>
      <c r="FU60" s="422"/>
      <c r="FV60" s="422"/>
      <c r="FW60" s="422"/>
      <c r="FX60" s="422"/>
      <c r="FY60" s="422"/>
      <c r="FZ60" s="422"/>
      <c r="GA60" s="422"/>
      <c r="GB60" s="422"/>
      <c r="GC60" s="422"/>
      <c r="GD60" s="422"/>
      <c r="GE60" s="422"/>
      <c r="GF60" s="422"/>
      <c r="GG60" s="422"/>
      <c r="GH60" s="422"/>
      <c r="GI60" s="422"/>
      <c r="GJ60" s="422"/>
      <c r="GK60" s="422"/>
      <c r="GL60" s="422"/>
      <c r="GM60" s="422"/>
      <c r="GN60" s="422"/>
      <c r="GO60" s="422"/>
      <c r="GP60" s="422"/>
      <c r="GQ60" s="422"/>
      <c r="GR60" s="422"/>
      <c r="GS60" s="422"/>
      <c r="GT60" s="422"/>
      <c r="GU60" s="422"/>
      <c r="GV60" s="422"/>
      <c r="GW60" s="422"/>
      <c r="GX60" s="422"/>
      <c r="GY60" s="422"/>
      <c r="GZ60" s="422"/>
      <c r="HA60" s="422"/>
      <c r="HB60" s="422"/>
      <c r="HC60" s="422"/>
      <c r="HD60" s="422"/>
      <c r="HE60" s="422"/>
      <c r="HF60" s="422"/>
      <c r="HG60" s="422"/>
      <c r="HH60" s="422"/>
      <c r="HI60" s="422"/>
      <c r="HJ60" s="422"/>
      <c r="HK60" s="422"/>
      <c r="HL60" s="422"/>
      <c r="HM60" s="422"/>
      <c r="HN60" s="422"/>
      <c r="HO60" s="422"/>
      <c r="HP60" s="422"/>
      <c r="HQ60" s="422"/>
      <c r="HR60" s="422"/>
      <c r="HS60" s="422"/>
      <c r="HT60" s="422"/>
      <c r="HU60" s="422"/>
      <c r="HV60" s="422"/>
      <c r="HW60" s="422"/>
      <c r="HX60" s="422"/>
      <c r="HY60" s="422"/>
      <c r="HZ60" s="422"/>
      <c r="IA60" s="422"/>
      <c r="IB60" s="422"/>
      <c r="IC60" s="422"/>
      <c r="ID60" s="422"/>
      <c r="IE60" s="422"/>
      <c r="IF60" s="422"/>
      <c r="IG60" s="422"/>
      <c r="IH60" s="422"/>
      <c r="II60" s="422"/>
      <c r="IJ60" s="422"/>
      <c r="IK60" s="422"/>
      <c r="IL60" s="422"/>
      <c r="IM60" s="15"/>
      <c r="IN60" s="15"/>
      <c r="IO60" s="15"/>
      <c r="IP60" s="15"/>
      <c r="IQ60" s="15"/>
      <c r="IR60" s="15"/>
      <c r="IS60" s="15"/>
      <c r="IT60" s="15"/>
    </row>
    <row r="61" spans="1:254" s="174" customFormat="1" ht="12.95" customHeight="1" x14ac:dyDescent="0.15">
      <c r="A61" s="427" t="s">
        <v>931</v>
      </c>
      <c r="B61" s="427"/>
      <c r="C61" s="428" t="s">
        <v>772</v>
      </c>
      <c r="D61" s="428"/>
      <c r="E61" s="429" t="s">
        <v>778</v>
      </c>
      <c r="F61" s="429"/>
      <c r="G61" s="418" t="s">
        <v>4</v>
      </c>
      <c r="H61" s="418"/>
      <c r="I61" s="426"/>
      <c r="J61" s="426"/>
      <c r="K61" s="426"/>
      <c r="L61" s="426"/>
      <c r="M61" s="432"/>
      <c r="N61" s="433"/>
      <c r="O61" s="422"/>
      <c r="P61" s="422"/>
      <c r="Q61" s="422"/>
      <c r="R61" s="422"/>
      <c r="S61" s="422"/>
      <c r="T61" s="422"/>
      <c r="U61" s="422"/>
      <c r="V61" s="422"/>
      <c r="W61" s="422"/>
      <c r="X61" s="422"/>
      <c r="Y61" s="422"/>
      <c r="Z61" s="422"/>
      <c r="AA61" s="422"/>
      <c r="AB61" s="422"/>
      <c r="AC61" s="422"/>
      <c r="AD61" s="422"/>
      <c r="AE61" s="422"/>
      <c r="AF61" s="422"/>
      <c r="AG61" s="422"/>
      <c r="AH61" s="422"/>
      <c r="AI61" s="422"/>
      <c r="AJ61" s="422"/>
      <c r="AK61" s="422"/>
      <c r="AL61" s="422"/>
      <c r="AM61" s="422"/>
      <c r="AN61" s="422"/>
      <c r="AO61" s="422"/>
      <c r="AP61" s="422"/>
      <c r="AQ61" s="422"/>
      <c r="AR61" s="422"/>
      <c r="AS61" s="422"/>
      <c r="AT61" s="422"/>
      <c r="AU61" s="422"/>
      <c r="AV61" s="422"/>
      <c r="AW61" s="422"/>
      <c r="AX61" s="422"/>
      <c r="AY61" s="422"/>
      <c r="AZ61" s="422"/>
      <c r="BA61" s="422"/>
      <c r="BB61" s="422"/>
      <c r="BC61" s="422"/>
      <c r="BD61" s="422"/>
      <c r="BE61" s="422"/>
      <c r="BF61" s="422"/>
      <c r="BG61" s="422"/>
      <c r="BH61" s="422"/>
      <c r="BI61" s="422"/>
      <c r="BJ61" s="422"/>
      <c r="BK61" s="422"/>
      <c r="BL61" s="422"/>
      <c r="BM61" s="422"/>
      <c r="BN61" s="422"/>
      <c r="BO61" s="422"/>
      <c r="BP61" s="422"/>
      <c r="BQ61" s="422"/>
      <c r="BR61" s="422"/>
      <c r="BS61" s="422"/>
      <c r="BT61" s="422"/>
      <c r="BU61" s="422"/>
      <c r="BV61" s="422"/>
      <c r="BW61" s="422"/>
      <c r="BX61" s="422"/>
      <c r="BY61" s="422"/>
      <c r="BZ61" s="422"/>
      <c r="CA61" s="422"/>
      <c r="CB61" s="422"/>
      <c r="CC61" s="422"/>
      <c r="CD61" s="422"/>
      <c r="CE61" s="422"/>
      <c r="CF61" s="422"/>
      <c r="CG61" s="422"/>
      <c r="CH61" s="422"/>
      <c r="CI61" s="422"/>
      <c r="CJ61" s="422"/>
      <c r="CK61" s="422"/>
      <c r="CL61" s="422"/>
      <c r="CM61" s="422"/>
      <c r="CN61" s="422"/>
      <c r="CO61" s="422"/>
      <c r="CP61" s="422"/>
      <c r="CQ61" s="422"/>
      <c r="CR61" s="422"/>
      <c r="CS61" s="422"/>
      <c r="CT61" s="422"/>
      <c r="CU61" s="422"/>
      <c r="CV61" s="422"/>
      <c r="CW61" s="422"/>
      <c r="CX61" s="422"/>
      <c r="CY61" s="422"/>
      <c r="CZ61" s="422"/>
      <c r="DA61" s="422"/>
      <c r="DB61" s="422"/>
      <c r="DC61" s="422"/>
      <c r="DD61" s="422"/>
      <c r="DE61" s="422"/>
      <c r="DF61" s="422"/>
      <c r="DG61" s="422"/>
      <c r="DH61" s="422"/>
      <c r="DI61" s="422"/>
      <c r="DJ61" s="422"/>
      <c r="DK61" s="422"/>
      <c r="DL61" s="422"/>
      <c r="DM61" s="422"/>
      <c r="DN61" s="422"/>
      <c r="DO61" s="422"/>
      <c r="DP61" s="422"/>
      <c r="DQ61" s="422"/>
      <c r="DR61" s="422"/>
      <c r="DS61" s="422"/>
      <c r="DT61" s="422"/>
      <c r="DU61" s="422"/>
      <c r="DV61" s="422"/>
      <c r="DW61" s="422"/>
      <c r="DX61" s="422"/>
      <c r="DY61" s="422"/>
      <c r="DZ61" s="422"/>
      <c r="EA61" s="422"/>
      <c r="EB61" s="422"/>
      <c r="EC61" s="422"/>
      <c r="ED61" s="422"/>
      <c r="EE61" s="422"/>
      <c r="EF61" s="422"/>
      <c r="EG61" s="422"/>
      <c r="EH61" s="422"/>
      <c r="EI61" s="422"/>
      <c r="EJ61" s="422"/>
      <c r="EK61" s="422"/>
      <c r="EL61" s="422"/>
      <c r="EM61" s="422"/>
      <c r="EN61" s="422"/>
      <c r="EO61" s="422"/>
      <c r="EP61" s="422"/>
      <c r="EQ61" s="422"/>
      <c r="ER61" s="422"/>
      <c r="ES61" s="422"/>
      <c r="ET61" s="422"/>
      <c r="EU61" s="422"/>
      <c r="EV61" s="422"/>
      <c r="EW61" s="422"/>
      <c r="EX61" s="422"/>
      <c r="EY61" s="422"/>
      <c r="EZ61" s="422"/>
      <c r="FA61" s="422"/>
      <c r="FB61" s="422"/>
      <c r="FC61" s="422"/>
      <c r="FD61" s="422"/>
      <c r="FE61" s="422"/>
      <c r="FF61" s="422"/>
      <c r="FG61" s="422"/>
      <c r="FH61" s="422"/>
      <c r="FI61" s="422"/>
      <c r="FJ61" s="422"/>
      <c r="FK61" s="422"/>
      <c r="FL61" s="422"/>
      <c r="FM61" s="422"/>
      <c r="FN61" s="422"/>
      <c r="FO61" s="422"/>
      <c r="FP61" s="422"/>
      <c r="FQ61" s="422"/>
      <c r="FR61" s="422"/>
      <c r="FS61" s="422"/>
      <c r="FT61" s="422"/>
      <c r="FU61" s="422"/>
      <c r="FV61" s="422"/>
      <c r="FW61" s="422"/>
      <c r="FX61" s="422"/>
      <c r="FY61" s="422"/>
      <c r="FZ61" s="422"/>
      <c r="GA61" s="422"/>
      <c r="GB61" s="422"/>
      <c r="GC61" s="422"/>
      <c r="GD61" s="422"/>
      <c r="GE61" s="422"/>
      <c r="GF61" s="422"/>
      <c r="GG61" s="422"/>
      <c r="GH61" s="422"/>
      <c r="GI61" s="422"/>
      <c r="GJ61" s="422"/>
      <c r="GK61" s="422"/>
      <c r="GL61" s="422"/>
      <c r="GM61" s="422"/>
      <c r="GN61" s="422"/>
      <c r="GO61" s="422"/>
      <c r="GP61" s="422"/>
      <c r="GQ61" s="422"/>
      <c r="GR61" s="422"/>
      <c r="GS61" s="422"/>
      <c r="GT61" s="422"/>
      <c r="GU61" s="422"/>
      <c r="GV61" s="422"/>
      <c r="GW61" s="422"/>
      <c r="GX61" s="422"/>
      <c r="GY61" s="422"/>
      <c r="GZ61" s="422"/>
      <c r="HA61" s="422"/>
      <c r="HB61" s="422"/>
      <c r="HC61" s="422"/>
      <c r="HD61" s="422"/>
      <c r="HE61" s="422"/>
      <c r="HF61" s="422"/>
      <c r="HG61" s="422"/>
      <c r="HH61" s="422"/>
      <c r="HI61" s="422"/>
      <c r="HJ61" s="422"/>
      <c r="HK61" s="422"/>
      <c r="HL61" s="422"/>
      <c r="HM61" s="422"/>
      <c r="HN61" s="422"/>
      <c r="HO61" s="422"/>
      <c r="HP61" s="422"/>
      <c r="HQ61" s="422"/>
      <c r="HR61" s="422"/>
      <c r="HS61" s="422"/>
      <c r="HT61" s="422"/>
      <c r="HU61" s="422"/>
      <c r="HV61" s="422"/>
      <c r="HW61" s="422"/>
      <c r="HX61" s="422"/>
      <c r="HY61" s="422"/>
      <c r="HZ61" s="422"/>
      <c r="IA61" s="422"/>
      <c r="IB61" s="422"/>
      <c r="IC61" s="422"/>
      <c r="ID61" s="422"/>
      <c r="IE61" s="422"/>
      <c r="IF61" s="422"/>
      <c r="IG61" s="422"/>
      <c r="IH61" s="422"/>
      <c r="II61" s="422"/>
      <c r="IJ61" s="422"/>
      <c r="IK61" s="422"/>
      <c r="IL61" s="422"/>
      <c r="IM61" s="15"/>
      <c r="IN61" s="15"/>
      <c r="IO61" s="15"/>
      <c r="IP61" s="15"/>
      <c r="IQ61" s="15"/>
      <c r="IR61" s="15"/>
      <c r="IS61" s="15"/>
      <c r="IT61" s="15"/>
    </row>
    <row r="62" spans="1:254" s="174" customFormat="1" ht="12.95" customHeight="1" x14ac:dyDescent="0.15">
      <c r="A62" s="175">
        <f>B62+SUM(O66:IL66)</f>
        <v>0</v>
      </c>
      <c r="B62" s="176">
        <f>J66+L66</f>
        <v>0</v>
      </c>
      <c r="C62" s="177">
        <f>D62-SUM(O67:IL67)+SUM(O68:IL68)</f>
        <v>0</v>
      </c>
      <c r="D62" s="178">
        <f>J68+L68</f>
        <v>0</v>
      </c>
      <c r="E62" s="179">
        <f>J69+L69</f>
        <v>0</v>
      </c>
      <c r="F62" s="180">
        <f>E62+SUM(O69:IL69)</f>
        <v>0</v>
      </c>
      <c r="G62" s="430" t="s">
        <v>19</v>
      </c>
      <c r="H62" s="430"/>
      <c r="I62" s="426"/>
      <c r="J62" s="426"/>
      <c r="K62" s="426"/>
      <c r="L62" s="426"/>
      <c r="M62" s="432"/>
      <c r="N62" s="432"/>
      <c r="O62" s="422"/>
      <c r="P62" s="422"/>
      <c r="Q62" s="422"/>
      <c r="R62" s="422"/>
      <c r="S62" s="422"/>
      <c r="T62" s="422"/>
      <c r="U62" s="422"/>
      <c r="V62" s="422"/>
      <c r="W62" s="422"/>
      <c r="X62" s="422"/>
      <c r="Y62" s="422"/>
      <c r="Z62" s="422"/>
      <c r="AA62" s="422"/>
      <c r="AB62" s="422"/>
      <c r="AC62" s="422"/>
      <c r="AD62" s="422"/>
      <c r="AE62" s="422"/>
      <c r="AF62" s="422"/>
      <c r="AG62" s="422"/>
      <c r="AH62" s="422"/>
      <c r="AI62" s="422"/>
      <c r="AJ62" s="422"/>
      <c r="AK62" s="422"/>
      <c r="AL62" s="422"/>
      <c r="AM62" s="422"/>
      <c r="AN62" s="422"/>
      <c r="AO62" s="422"/>
      <c r="AP62" s="422"/>
      <c r="AQ62" s="422"/>
      <c r="AR62" s="422"/>
      <c r="AS62" s="422"/>
      <c r="AT62" s="422"/>
      <c r="AU62" s="422"/>
      <c r="AV62" s="422"/>
      <c r="AW62" s="422"/>
      <c r="AX62" s="422"/>
      <c r="AY62" s="422"/>
      <c r="AZ62" s="422"/>
      <c r="BA62" s="422"/>
      <c r="BB62" s="422"/>
      <c r="BC62" s="422"/>
      <c r="BD62" s="422"/>
      <c r="BE62" s="422"/>
      <c r="BF62" s="422"/>
      <c r="BG62" s="422"/>
      <c r="BH62" s="422"/>
      <c r="BI62" s="422"/>
      <c r="BJ62" s="422"/>
      <c r="BK62" s="422"/>
      <c r="BL62" s="422"/>
      <c r="BM62" s="422"/>
      <c r="BN62" s="422"/>
      <c r="BO62" s="422"/>
      <c r="BP62" s="422"/>
      <c r="BQ62" s="422"/>
      <c r="BR62" s="422"/>
      <c r="BS62" s="422"/>
      <c r="BT62" s="422"/>
      <c r="BU62" s="422"/>
      <c r="BV62" s="422"/>
      <c r="BW62" s="422"/>
      <c r="BX62" s="422"/>
      <c r="BY62" s="422"/>
      <c r="BZ62" s="422"/>
      <c r="CA62" s="422"/>
      <c r="CB62" s="422"/>
      <c r="CC62" s="422"/>
      <c r="CD62" s="422"/>
      <c r="CE62" s="422"/>
      <c r="CF62" s="422"/>
      <c r="CG62" s="422"/>
      <c r="CH62" s="422"/>
      <c r="CI62" s="422"/>
      <c r="CJ62" s="422"/>
      <c r="CK62" s="422"/>
      <c r="CL62" s="422"/>
      <c r="CM62" s="422"/>
      <c r="CN62" s="422"/>
      <c r="CO62" s="422"/>
      <c r="CP62" s="422"/>
      <c r="CQ62" s="422"/>
      <c r="CR62" s="422"/>
      <c r="CS62" s="422"/>
      <c r="CT62" s="422"/>
      <c r="CU62" s="422"/>
      <c r="CV62" s="422"/>
      <c r="CW62" s="422"/>
      <c r="CX62" s="422"/>
      <c r="CY62" s="422"/>
      <c r="CZ62" s="422"/>
      <c r="DA62" s="422"/>
      <c r="DB62" s="422"/>
      <c r="DC62" s="422"/>
      <c r="DD62" s="422"/>
      <c r="DE62" s="422"/>
      <c r="DF62" s="422"/>
      <c r="DG62" s="422"/>
      <c r="DH62" s="422"/>
      <c r="DI62" s="422"/>
      <c r="DJ62" s="422"/>
      <c r="DK62" s="422"/>
      <c r="DL62" s="422"/>
      <c r="DM62" s="422"/>
      <c r="DN62" s="422"/>
      <c r="DO62" s="422"/>
      <c r="DP62" s="422"/>
      <c r="DQ62" s="422"/>
      <c r="DR62" s="422"/>
      <c r="DS62" s="422"/>
      <c r="DT62" s="422"/>
      <c r="DU62" s="422"/>
      <c r="DV62" s="422"/>
      <c r="DW62" s="422"/>
      <c r="DX62" s="422"/>
      <c r="DY62" s="422"/>
      <c r="DZ62" s="422"/>
      <c r="EA62" s="422"/>
      <c r="EB62" s="422"/>
      <c r="EC62" s="422"/>
      <c r="ED62" s="422"/>
      <c r="EE62" s="422"/>
      <c r="EF62" s="422"/>
      <c r="EG62" s="422"/>
      <c r="EH62" s="422"/>
      <c r="EI62" s="422"/>
      <c r="EJ62" s="422"/>
      <c r="EK62" s="422"/>
      <c r="EL62" s="422"/>
      <c r="EM62" s="422"/>
      <c r="EN62" s="422"/>
      <c r="EO62" s="422"/>
      <c r="EP62" s="422"/>
      <c r="EQ62" s="422"/>
      <c r="ER62" s="422"/>
      <c r="ES62" s="422"/>
      <c r="ET62" s="422"/>
      <c r="EU62" s="422"/>
      <c r="EV62" s="422"/>
      <c r="EW62" s="422"/>
      <c r="EX62" s="422"/>
      <c r="EY62" s="422"/>
      <c r="EZ62" s="422"/>
      <c r="FA62" s="422"/>
      <c r="FB62" s="422"/>
      <c r="FC62" s="422"/>
      <c r="FD62" s="422"/>
      <c r="FE62" s="422"/>
      <c r="FF62" s="422"/>
      <c r="FG62" s="422"/>
      <c r="FH62" s="422"/>
      <c r="FI62" s="422"/>
      <c r="FJ62" s="422"/>
      <c r="FK62" s="422"/>
      <c r="FL62" s="422"/>
      <c r="FM62" s="422"/>
      <c r="FN62" s="422"/>
      <c r="FO62" s="422"/>
      <c r="FP62" s="422"/>
      <c r="FQ62" s="422"/>
      <c r="FR62" s="422"/>
      <c r="FS62" s="422"/>
      <c r="FT62" s="422"/>
      <c r="FU62" s="422"/>
      <c r="FV62" s="422"/>
      <c r="FW62" s="422"/>
      <c r="FX62" s="422"/>
      <c r="FY62" s="422"/>
      <c r="FZ62" s="422"/>
      <c r="GA62" s="422"/>
      <c r="GB62" s="422"/>
      <c r="GC62" s="422"/>
      <c r="GD62" s="422"/>
      <c r="GE62" s="422"/>
      <c r="GF62" s="422"/>
      <c r="GG62" s="422"/>
      <c r="GH62" s="422"/>
      <c r="GI62" s="422"/>
      <c r="GJ62" s="422"/>
      <c r="GK62" s="422"/>
      <c r="GL62" s="422"/>
      <c r="GM62" s="422"/>
      <c r="GN62" s="422"/>
      <c r="GO62" s="422"/>
      <c r="GP62" s="422"/>
      <c r="GQ62" s="422"/>
      <c r="GR62" s="422"/>
      <c r="GS62" s="422"/>
      <c r="GT62" s="422"/>
      <c r="GU62" s="422"/>
      <c r="GV62" s="422"/>
      <c r="GW62" s="422"/>
      <c r="GX62" s="422"/>
      <c r="GY62" s="422"/>
      <c r="GZ62" s="422"/>
      <c r="HA62" s="422"/>
      <c r="HB62" s="422"/>
      <c r="HC62" s="422"/>
      <c r="HD62" s="422"/>
      <c r="HE62" s="422"/>
      <c r="HF62" s="422"/>
      <c r="HG62" s="422"/>
      <c r="HH62" s="422"/>
      <c r="HI62" s="422"/>
      <c r="HJ62" s="422"/>
      <c r="HK62" s="422"/>
      <c r="HL62" s="422"/>
      <c r="HM62" s="422"/>
      <c r="HN62" s="422"/>
      <c r="HO62" s="422"/>
      <c r="HP62" s="422"/>
      <c r="HQ62" s="422"/>
      <c r="HR62" s="422"/>
      <c r="HS62" s="422"/>
      <c r="HT62" s="422"/>
      <c r="HU62" s="422"/>
      <c r="HV62" s="422"/>
      <c r="HW62" s="422"/>
      <c r="HX62" s="422"/>
      <c r="HY62" s="422"/>
      <c r="HZ62" s="422"/>
      <c r="IA62" s="422"/>
      <c r="IB62" s="422"/>
      <c r="IC62" s="422"/>
      <c r="ID62" s="422"/>
      <c r="IE62" s="422"/>
      <c r="IF62" s="422"/>
      <c r="IG62" s="422"/>
      <c r="IH62" s="422"/>
      <c r="II62" s="422"/>
      <c r="IJ62" s="422"/>
      <c r="IK62" s="422"/>
      <c r="IL62" s="422"/>
      <c r="IM62" s="15"/>
      <c r="IN62" s="15"/>
      <c r="IO62" s="15"/>
      <c r="IP62" s="15"/>
      <c r="IQ62" s="15"/>
      <c r="IR62" s="15"/>
      <c r="IS62" s="15"/>
      <c r="IT62" s="15"/>
    </row>
    <row r="63" spans="1:254" s="174" customFormat="1" ht="12" customHeight="1" x14ac:dyDescent="0.15">
      <c r="A63" s="415" t="s">
        <v>793</v>
      </c>
      <c r="B63" s="416"/>
      <c r="C63" s="181" t="s">
        <v>932</v>
      </c>
      <c r="D63" s="182" t="s">
        <v>933</v>
      </c>
      <c r="E63" s="417" t="str">
        <f>IF(F62&lt;100,IF(F62&lt;50,"通常状態",IF(F62&lt;60,"暴走Lv1 ",IF(F62&lt;70,"暴走Lv2",IF(F62&lt;80,"暴走Lv3",IF(F62&lt;90,"暴走Lv4","暴走Lv5"))))),IF(F62&lt;110,"臨界Lv1",IF(F62&lt;120,"臨界Lv2",IF(F62&lt;130,"臨界Lv3",IF(F62&lt;140,"臨界Lv4",IF(F62&lt;150,"臨界Lv5",IF(F62&lt;150,"活性Lv5","因子崩壊")))))))</f>
        <v>通常状態</v>
      </c>
      <c r="F63" s="417"/>
      <c r="G63" s="418" t="s">
        <v>15</v>
      </c>
      <c r="H63" s="418"/>
      <c r="I63" s="426"/>
      <c r="J63" s="426"/>
      <c r="K63" s="426"/>
      <c r="L63" s="426"/>
      <c r="M63" s="432"/>
      <c r="N63" s="432"/>
      <c r="O63" s="422"/>
      <c r="P63" s="422"/>
      <c r="Q63" s="422"/>
      <c r="R63" s="422"/>
      <c r="S63" s="422"/>
      <c r="T63" s="422"/>
      <c r="U63" s="422"/>
      <c r="V63" s="422"/>
      <c r="W63" s="422"/>
      <c r="X63" s="422"/>
      <c r="Y63" s="422"/>
      <c r="Z63" s="422"/>
      <c r="AA63" s="422"/>
      <c r="AB63" s="422"/>
      <c r="AC63" s="422"/>
      <c r="AD63" s="422"/>
      <c r="AE63" s="422"/>
      <c r="AF63" s="422"/>
      <c r="AG63" s="422"/>
      <c r="AH63" s="422"/>
      <c r="AI63" s="422"/>
      <c r="AJ63" s="422"/>
      <c r="AK63" s="422"/>
      <c r="AL63" s="422"/>
      <c r="AM63" s="422"/>
      <c r="AN63" s="422"/>
      <c r="AO63" s="422"/>
      <c r="AP63" s="422"/>
      <c r="AQ63" s="422"/>
      <c r="AR63" s="422"/>
      <c r="AS63" s="422"/>
      <c r="AT63" s="422"/>
      <c r="AU63" s="422"/>
      <c r="AV63" s="422"/>
      <c r="AW63" s="422"/>
      <c r="AX63" s="422"/>
      <c r="AY63" s="422"/>
      <c r="AZ63" s="422"/>
      <c r="BA63" s="422"/>
      <c r="BB63" s="422"/>
      <c r="BC63" s="422"/>
      <c r="BD63" s="422"/>
      <c r="BE63" s="422"/>
      <c r="BF63" s="422"/>
      <c r="BG63" s="422"/>
      <c r="BH63" s="422"/>
      <c r="BI63" s="422"/>
      <c r="BJ63" s="422"/>
      <c r="BK63" s="422"/>
      <c r="BL63" s="422"/>
      <c r="BM63" s="422"/>
      <c r="BN63" s="422"/>
      <c r="BO63" s="422"/>
      <c r="BP63" s="422"/>
      <c r="BQ63" s="422"/>
      <c r="BR63" s="422"/>
      <c r="BS63" s="422"/>
      <c r="BT63" s="422"/>
      <c r="BU63" s="422"/>
      <c r="BV63" s="422"/>
      <c r="BW63" s="422"/>
      <c r="BX63" s="422"/>
      <c r="BY63" s="422"/>
      <c r="BZ63" s="422"/>
      <c r="CA63" s="422"/>
      <c r="CB63" s="422"/>
      <c r="CC63" s="422"/>
      <c r="CD63" s="422"/>
      <c r="CE63" s="422"/>
      <c r="CF63" s="422"/>
      <c r="CG63" s="422"/>
      <c r="CH63" s="422"/>
      <c r="CI63" s="422"/>
      <c r="CJ63" s="422"/>
      <c r="CK63" s="422"/>
      <c r="CL63" s="422"/>
      <c r="CM63" s="422"/>
      <c r="CN63" s="422"/>
      <c r="CO63" s="422"/>
      <c r="CP63" s="422"/>
      <c r="CQ63" s="422"/>
      <c r="CR63" s="422"/>
      <c r="CS63" s="422"/>
      <c r="CT63" s="422"/>
      <c r="CU63" s="422"/>
      <c r="CV63" s="422"/>
      <c r="CW63" s="422"/>
      <c r="CX63" s="422"/>
      <c r="CY63" s="422"/>
      <c r="CZ63" s="422"/>
      <c r="DA63" s="422"/>
      <c r="DB63" s="422"/>
      <c r="DC63" s="422"/>
      <c r="DD63" s="422"/>
      <c r="DE63" s="422"/>
      <c r="DF63" s="422"/>
      <c r="DG63" s="422"/>
      <c r="DH63" s="422"/>
      <c r="DI63" s="422"/>
      <c r="DJ63" s="422"/>
      <c r="DK63" s="422"/>
      <c r="DL63" s="422"/>
      <c r="DM63" s="422"/>
      <c r="DN63" s="422"/>
      <c r="DO63" s="422"/>
      <c r="DP63" s="422"/>
      <c r="DQ63" s="422"/>
      <c r="DR63" s="422"/>
      <c r="DS63" s="422"/>
      <c r="DT63" s="422"/>
      <c r="DU63" s="422"/>
      <c r="DV63" s="422"/>
      <c r="DW63" s="422"/>
      <c r="DX63" s="422"/>
      <c r="DY63" s="422"/>
      <c r="DZ63" s="422"/>
      <c r="EA63" s="422"/>
      <c r="EB63" s="422"/>
      <c r="EC63" s="422"/>
      <c r="ED63" s="422"/>
      <c r="EE63" s="422"/>
      <c r="EF63" s="422"/>
      <c r="EG63" s="422"/>
      <c r="EH63" s="422"/>
      <c r="EI63" s="422"/>
      <c r="EJ63" s="422"/>
      <c r="EK63" s="422"/>
      <c r="EL63" s="422"/>
      <c r="EM63" s="422"/>
      <c r="EN63" s="422"/>
      <c r="EO63" s="422"/>
      <c r="EP63" s="422"/>
      <c r="EQ63" s="422"/>
      <c r="ER63" s="422"/>
      <c r="ES63" s="422"/>
      <c r="ET63" s="422"/>
      <c r="EU63" s="422"/>
      <c r="EV63" s="422"/>
      <c r="EW63" s="422"/>
      <c r="EX63" s="422"/>
      <c r="EY63" s="422"/>
      <c r="EZ63" s="422"/>
      <c r="FA63" s="422"/>
      <c r="FB63" s="422"/>
      <c r="FC63" s="422"/>
      <c r="FD63" s="422"/>
      <c r="FE63" s="422"/>
      <c r="FF63" s="422"/>
      <c r="FG63" s="422"/>
      <c r="FH63" s="422"/>
      <c r="FI63" s="422"/>
      <c r="FJ63" s="422"/>
      <c r="FK63" s="422"/>
      <c r="FL63" s="422"/>
      <c r="FM63" s="422"/>
      <c r="FN63" s="422"/>
      <c r="FO63" s="422"/>
      <c r="FP63" s="422"/>
      <c r="FQ63" s="422"/>
      <c r="FR63" s="422"/>
      <c r="FS63" s="422"/>
      <c r="FT63" s="422"/>
      <c r="FU63" s="422"/>
      <c r="FV63" s="422"/>
      <c r="FW63" s="422"/>
      <c r="FX63" s="422"/>
      <c r="FY63" s="422"/>
      <c r="FZ63" s="422"/>
      <c r="GA63" s="422"/>
      <c r="GB63" s="422"/>
      <c r="GC63" s="422"/>
      <c r="GD63" s="422"/>
      <c r="GE63" s="422"/>
      <c r="GF63" s="422"/>
      <c r="GG63" s="422"/>
      <c r="GH63" s="422"/>
      <c r="GI63" s="422"/>
      <c r="GJ63" s="422"/>
      <c r="GK63" s="422"/>
      <c r="GL63" s="422"/>
      <c r="GM63" s="422"/>
      <c r="GN63" s="422"/>
      <c r="GO63" s="422"/>
      <c r="GP63" s="422"/>
      <c r="GQ63" s="422"/>
      <c r="GR63" s="422"/>
      <c r="GS63" s="422"/>
      <c r="GT63" s="422"/>
      <c r="GU63" s="422"/>
      <c r="GV63" s="422"/>
      <c r="GW63" s="422"/>
      <c r="GX63" s="422"/>
      <c r="GY63" s="422"/>
      <c r="GZ63" s="422"/>
      <c r="HA63" s="422"/>
      <c r="HB63" s="422"/>
      <c r="HC63" s="422"/>
      <c r="HD63" s="422"/>
      <c r="HE63" s="422"/>
      <c r="HF63" s="422"/>
      <c r="HG63" s="422"/>
      <c r="HH63" s="422"/>
      <c r="HI63" s="422"/>
      <c r="HJ63" s="422"/>
      <c r="HK63" s="422"/>
      <c r="HL63" s="422"/>
      <c r="HM63" s="422"/>
      <c r="HN63" s="422"/>
      <c r="HO63" s="422"/>
      <c r="HP63" s="422"/>
      <c r="HQ63" s="422"/>
      <c r="HR63" s="422"/>
      <c r="HS63" s="422"/>
      <c r="HT63" s="422"/>
      <c r="HU63" s="422"/>
      <c r="HV63" s="422"/>
      <c r="HW63" s="422"/>
      <c r="HX63" s="422"/>
      <c r="HY63" s="422"/>
      <c r="HZ63" s="422"/>
      <c r="IA63" s="422"/>
      <c r="IB63" s="422"/>
      <c r="IC63" s="422"/>
      <c r="ID63" s="422"/>
      <c r="IE63" s="422"/>
      <c r="IF63" s="422"/>
      <c r="IG63" s="422"/>
      <c r="IH63" s="422"/>
      <c r="II63" s="422"/>
      <c r="IJ63" s="422"/>
      <c r="IK63" s="422"/>
      <c r="IL63" s="422"/>
      <c r="IM63" s="15"/>
      <c r="IN63" s="15"/>
      <c r="IO63" s="15"/>
      <c r="IP63" s="15"/>
      <c r="IQ63" s="15"/>
      <c r="IR63" s="15"/>
      <c r="IS63" s="15"/>
      <c r="IT63" s="15"/>
    </row>
    <row r="64" spans="1:254" s="174" customFormat="1" ht="12.95" customHeight="1" x14ac:dyDescent="0.15">
      <c r="A64" s="415"/>
      <c r="B64" s="416"/>
      <c r="C64" s="183">
        <f>SUM(L67:IQ67)</f>
        <v>0</v>
      </c>
      <c r="D64" s="184">
        <f>ROUNDDOWN((C64/5),0)+SUM(I65:IL65)</f>
        <v>0</v>
      </c>
      <c r="E64" s="419" t="str">
        <f>IF(F62&lt;50,"未活性",IF(F62&lt;60,"活性Lv1",IF(F62&lt;70,"活性Lv2",IF(F62&lt;80,"活性Lv3",IF(F62&lt;90,"活性Lv4",IF(F62&lt;100,"活性Lv5",IF(F62&lt;150,"活性Lv5","強制キャラロスト")))))))</f>
        <v>未活性</v>
      </c>
      <c r="F64" s="419"/>
      <c r="G64" s="420" t="s">
        <v>19</v>
      </c>
      <c r="H64" s="420"/>
      <c r="I64" s="426"/>
      <c r="J64" s="426"/>
      <c r="K64" s="426"/>
      <c r="L64" s="426"/>
      <c r="M64" s="432"/>
      <c r="N64" s="432"/>
      <c r="O64" s="422"/>
      <c r="P64" s="422"/>
      <c r="Q64" s="422"/>
      <c r="R64" s="422"/>
      <c r="S64" s="422"/>
      <c r="T64" s="422"/>
      <c r="U64" s="422"/>
      <c r="V64" s="422"/>
      <c r="W64" s="422"/>
      <c r="X64" s="422"/>
      <c r="Y64" s="422"/>
      <c r="Z64" s="422"/>
      <c r="AA64" s="422"/>
      <c r="AB64" s="422"/>
      <c r="AC64" s="422"/>
      <c r="AD64" s="422"/>
      <c r="AE64" s="422"/>
      <c r="AF64" s="422"/>
      <c r="AG64" s="422"/>
      <c r="AH64" s="422"/>
      <c r="AI64" s="422"/>
      <c r="AJ64" s="422"/>
      <c r="AK64" s="422"/>
      <c r="AL64" s="422"/>
      <c r="AM64" s="422"/>
      <c r="AN64" s="422"/>
      <c r="AO64" s="422"/>
      <c r="AP64" s="422"/>
      <c r="AQ64" s="422"/>
      <c r="AR64" s="422"/>
      <c r="AS64" s="422"/>
      <c r="AT64" s="422"/>
      <c r="AU64" s="422"/>
      <c r="AV64" s="422"/>
      <c r="AW64" s="422"/>
      <c r="AX64" s="422"/>
      <c r="AY64" s="422"/>
      <c r="AZ64" s="422"/>
      <c r="BA64" s="422"/>
      <c r="BB64" s="422"/>
      <c r="BC64" s="422"/>
      <c r="BD64" s="422"/>
      <c r="BE64" s="422"/>
      <c r="BF64" s="422"/>
      <c r="BG64" s="422"/>
      <c r="BH64" s="422"/>
      <c r="BI64" s="422"/>
      <c r="BJ64" s="422"/>
      <c r="BK64" s="422"/>
      <c r="BL64" s="422"/>
      <c r="BM64" s="422"/>
      <c r="BN64" s="422"/>
      <c r="BO64" s="422"/>
      <c r="BP64" s="422"/>
      <c r="BQ64" s="422"/>
      <c r="BR64" s="422"/>
      <c r="BS64" s="422"/>
      <c r="BT64" s="422"/>
      <c r="BU64" s="422"/>
      <c r="BV64" s="422"/>
      <c r="BW64" s="422"/>
      <c r="BX64" s="422"/>
      <c r="BY64" s="422"/>
      <c r="BZ64" s="422"/>
      <c r="CA64" s="422"/>
      <c r="CB64" s="422"/>
      <c r="CC64" s="422"/>
      <c r="CD64" s="422"/>
      <c r="CE64" s="422"/>
      <c r="CF64" s="422"/>
      <c r="CG64" s="422"/>
      <c r="CH64" s="422"/>
      <c r="CI64" s="422"/>
      <c r="CJ64" s="422"/>
      <c r="CK64" s="422"/>
      <c r="CL64" s="422"/>
      <c r="CM64" s="422"/>
      <c r="CN64" s="422"/>
      <c r="CO64" s="422"/>
      <c r="CP64" s="422"/>
      <c r="CQ64" s="422"/>
      <c r="CR64" s="422"/>
      <c r="CS64" s="422"/>
      <c r="CT64" s="422"/>
      <c r="CU64" s="422"/>
      <c r="CV64" s="422"/>
      <c r="CW64" s="422"/>
      <c r="CX64" s="422"/>
      <c r="CY64" s="422"/>
      <c r="CZ64" s="422"/>
      <c r="DA64" s="422"/>
      <c r="DB64" s="422"/>
      <c r="DC64" s="422"/>
      <c r="DD64" s="422"/>
      <c r="DE64" s="422"/>
      <c r="DF64" s="422"/>
      <c r="DG64" s="422"/>
      <c r="DH64" s="422"/>
      <c r="DI64" s="422"/>
      <c r="DJ64" s="422"/>
      <c r="DK64" s="422"/>
      <c r="DL64" s="422"/>
      <c r="DM64" s="422"/>
      <c r="DN64" s="422"/>
      <c r="DO64" s="422"/>
      <c r="DP64" s="422"/>
      <c r="DQ64" s="422"/>
      <c r="DR64" s="422"/>
      <c r="DS64" s="422"/>
      <c r="DT64" s="422"/>
      <c r="DU64" s="422"/>
      <c r="DV64" s="422"/>
      <c r="DW64" s="422"/>
      <c r="DX64" s="422"/>
      <c r="DY64" s="422"/>
      <c r="DZ64" s="422"/>
      <c r="EA64" s="422"/>
      <c r="EB64" s="422"/>
      <c r="EC64" s="422"/>
      <c r="ED64" s="422"/>
      <c r="EE64" s="422"/>
      <c r="EF64" s="422"/>
      <c r="EG64" s="422"/>
      <c r="EH64" s="422"/>
      <c r="EI64" s="422"/>
      <c r="EJ64" s="422"/>
      <c r="EK64" s="422"/>
      <c r="EL64" s="422"/>
      <c r="EM64" s="422"/>
      <c r="EN64" s="422"/>
      <c r="EO64" s="422"/>
      <c r="EP64" s="422"/>
      <c r="EQ64" s="422"/>
      <c r="ER64" s="422"/>
      <c r="ES64" s="422"/>
      <c r="ET64" s="422"/>
      <c r="EU64" s="422"/>
      <c r="EV64" s="422"/>
      <c r="EW64" s="422"/>
      <c r="EX64" s="422"/>
      <c r="EY64" s="422"/>
      <c r="EZ64" s="422"/>
      <c r="FA64" s="422"/>
      <c r="FB64" s="422"/>
      <c r="FC64" s="422"/>
      <c r="FD64" s="422"/>
      <c r="FE64" s="422"/>
      <c r="FF64" s="422"/>
      <c r="FG64" s="422"/>
      <c r="FH64" s="422"/>
      <c r="FI64" s="422"/>
      <c r="FJ64" s="422"/>
      <c r="FK64" s="422"/>
      <c r="FL64" s="422"/>
      <c r="FM64" s="422"/>
      <c r="FN64" s="422"/>
      <c r="FO64" s="422"/>
      <c r="FP64" s="422"/>
      <c r="FQ64" s="422"/>
      <c r="FR64" s="422"/>
      <c r="FS64" s="422"/>
      <c r="FT64" s="422"/>
      <c r="FU64" s="422"/>
      <c r="FV64" s="422"/>
      <c r="FW64" s="422"/>
      <c r="FX64" s="422"/>
      <c r="FY64" s="422"/>
      <c r="FZ64" s="422"/>
      <c r="GA64" s="422"/>
      <c r="GB64" s="422"/>
      <c r="GC64" s="422"/>
      <c r="GD64" s="422"/>
      <c r="GE64" s="422"/>
      <c r="GF64" s="422"/>
      <c r="GG64" s="422"/>
      <c r="GH64" s="422"/>
      <c r="GI64" s="422"/>
      <c r="GJ64" s="422"/>
      <c r="GK64" s="422"/>
      <c r="GL64" s="422"/>
      <c r="GM64" s="422"/>
      <c r="GN64" s="422"/>
      <c r="GO64" s="422"/>
      <c r="GP64" s="422"/>
      <c r="GQ64" s="422"/>
      <c r="GR64" s="422"/>
      <c r="GS64" s="422"/>
      <c r="GT64" s="422"/>
      <c r="GU64" s="422"/>
      <c r="GV64" s="422"/>
      <c r="GW64" s="422"/>
      <c r="GX64" s="422"/>
      <c r="GY64" s="422"/>
      <c r="GZ64" s="422"/>
      <c r="HA64" s="422"/>
      <c r="HB64" s="422"/>
      <c r="HC64" s="422"/>
      <c r="HD64" s="422"/>
      <c r="HE64" s="422"/>
      <c r="HF64" s="422"/>
      <c r="HG64" s="422"/>
      <c r="HH64" s="422"/>
      <c r="HI64" s="422"/>
      <c r="HJ64" s="422"/>
      <c r="HK64" s="422"/>
      <c r="HL64" s="422"/>
      <c r="HM64" s="422"/>
      <c r="HN64" s="422"/>
      <c r="HO64" s="422"/>
      <c r="HP64" s="422"/>
      <c r="HQ64" s="422"/>
      <c r="HR64" s="422"/>
      <c r="HS64" s="422"/>
      <c r="HT64" s="422"/>
      <c r="HU64" s="422"/>
      <c r="HV64" s="422"/>
      <c r="HW64" s="422"/>
      <c r="HX64" s="422"/>
      <c r="HY64" s="422"/>
      <c r="HZ64" s="422"/>
      <c r="IA64" s="422"/>
      <c r="IB64" s="422"/>
      <c r="IC64" s="422"/>
      <c r="ID64" s="422"/>
      <c r="IE64" s="422"/>
      <c r="IF64" s="422"/>
      <c r="IG64" s="422"/>
      <c r="IH64" s="422"/>
      <c r="II64" s="422"/>
      <c r="IJ64" s="422"/>
      <c r="IK64" s="422"/>
      <c r="IL64" s="422"/>
      <c r="IM64" s="15"/>
      <c r="IN64" s="15"/>
      <c r="IO64" s="15"/>
      <c r="IP64" s="15"/>
      <c r="IQ64" s="15"/>
      <c r="IR64" s="15"/>
      <c r="IS64" s="15"/>
      <c r="IT64" s="15"/>
    </row>
    <row r="65" spans="1:254" s="190" customFormat="1" ht="12.95" customHeight="1" x14ac:dyDescent="0.15">
      <c r="A65" s="185" t="s">
        <v>801</v>
      </c>
      <c r="B65" s="186"/>
      <c r="C65" s="410" t="str">
        <f>IF(G60="反応型",IF(50&gt;F62,"+0",IF(60&gt;F62,"+1",IF(70&gt;F62,"+2",IF(F62&gt;=70,"+3")))),"活性補正")</f>
        <v>活性補正</v>
      </c>
      <c r="D65" s="187" t="s">
        <v>802</v>
      </c>
      <c r="E65" s="188"/>
      <c r="F65" s="411" t="str">
        <f>IF(G60="増強型",IF(50&gt;F62,"+0",IF(60&gt;F62,"+1",IF(70&gt;F62,"+2",IF(F62&gt;=70,"+3")))),"活性補正")</f>
        <v>活性補正</v>
      </c>
      <c r="G65" s="412" t="s">
        <v>934</v>
      </c>
      <c r="H65" s="412"/>
      <c r="I65" s="413" t="s">
        <v>935</v>
      </c>
      <c r="J65" s="413"/>
      <c r="K65" s="413"/>
      <c r="L65" s="413"/>
      <c r="M65" s="189" t="s">
        <v>936</v>
      </c>
      <c r="N65" s="190" t="s">
        <v>926</v>
      </c>
      <c r="IL65" s="191"/>
      <c r="IM65" s="15"/>
      <c r="IN65" s="15"/>
      <c r="IO65" s="15"/>
      <c r="IP65" s="15"/>
      <c r="IQ65" s="15"/>
      <c r="IR65" s="15"/>
      <c r="IS65" s="15"/>
      <c r="IT65" s="15"/>
    </row>
    <row r="66" spans="1:254" s="201" customFormat="1" ht="12.95" customHeight="1" x14ac:dyDescent="0.15">
      <c r="A66" s="192" t="s">
        <v>885</v>
      </c>
      <c r="B66" s="193"/>
      <c r="C66" s="410"/>
      <c r="D66" s="194" t="s">
        <v>807</v>
      </c>
      <c r="E66" s="195"/>
      <c r="F66" s="411"/>
      <c r="G66" s="414" t="s">
        <v>937</v>
      </c>
      <c r="H66" s="414"/>
      <c r="I66" s="196" t="s">
        <v>938</v>
      </c>
      <c r="J66" s="197"/>
      <c r="K66" s="197" t="s">
        <v>939</v>
      </c>
      <c r="L66" s="198"/>
      <c r="M66" s="199" t="s">
        <v>936</v>
      </c>
      <c r="N66" s="200" t="s">
        <v>926</v>
      </c>
      <c r="O66" s="200"/>
      <c r="IL66" s="202"/>
      <c r="IM66" s="15"/>
      <c r="IN66" s="15"/>
      <c r="IO66" s="15"/>
      <c r="IP66" s="15"/>
      <c r="IQ66" s="15"/>
      <c r="IR66" s="15"/>
      <c r="IS66" s="15"/>
      <c r="IT66" s="15"/>
    </row>
    <row r="67" spans="1:254" s="208" customFormat="1" ht="12" customHeight="1" x14ac:dyDescent="0.15">
      <c r="A67" s="192" t="s">
        <v>886</v>
      </c>
      <c r="B67" s="193"/>
      <c r="C67" s="410"/>
      <c r="D67" s="194" t="s">
        <v>813</v>
      </c>
      <c r="E67" s="195"/>
      <c r="F67" s="411"/>
      <c r="G67" s="408" t="s">
        <v>940</v>
      </c>
      <c r="H67" s="408"/>
      <c r="I67" s="203"/>
      <c r="J67" s="204"/>
      <c r="K67" s="204"/>
      <c r="L67" s="205"/>
      <c r="M67" s="206" t="s">
        <v>941</v>
      </c>
      <c r="N67" s="207" t="s">
        <v>926</v>
      </c>
      <c r="O67" s="207"/>
      <c r="IL67" s="209"/>
      <c r="IM67" s="15"/>
      <c r="IN67" s="15"/>
      <c r="IO67" s="15"/>
      <c r="IP67" s="15"/>
      <c r="IQ67" s="15"/>
      <c r="IR67" s="15"/>
      <c r="IS67" s="15"/>
      <c r="IT67" s="15"/>
    </row>
    <row r="68" spans="1:254" s="208" customFormat="1" ht="12.95" customHeight="1" x14ac:dyDescent="0.15">
      <c r="A68" s="192" t="s">
        <v>363</v>
      </c>
      <c r="B68" s="210"/>
      <c r="C68" s="407" t="str">
        <f>IF(G60="増強型",IF(50&gt;F62,"+0",IF(60&gt;F62,"+1",IF(70&gt;F62,"+2",IF(F62&gt;=70,"+3")))),"活性補正")</f>
        <v>活性補正</v>
      </c>
      <c r="D68" s="194" t="s">
        <v>942</v>
      </c>
      <c r="E68" s="210"/>
      <c r="F68" s="211"/>
      <c r="G68" s="408" t="s">
        <v>943</v>
      </c>
      <c r="H68" s="408"/>
      <c r="I68" s="212" t="s">
        <v>944</v>
      </c>
      <c r="J68" s="213"/>
      <c r="K68" s="207" t="s">
        <v>945</v>
      </c>
      <c r="L68" s="214"/>
      <c r="M68" s="215" t="s">
        <v>941</v>
      </c>
      <c r="N68" s="207" t="s">
        <v>926</v>
      </c>
      <c r="O68" s="207"/>
      <c r="IL68" s="209"/>
      <c r="IM68" s="15"/>
      <c r="IN68" s="15"/>
      <c r="IO68" s="15"/>
      <c r="IP68" s="15"/>
      <c r="IQ68" s="15"/>
      <c r="IR68" s="15"/>
      <c r="IS68" s="15"/>
      <c r="IT68" s="15"/>
    </row>
    <row r="69" spans="1:254" s="222" customFormat="1" ht="12.95" customHeight="1" x14ac:dyDescent="0.15">
      <c r="A69" s="192" t="s">
        <v>946</v>
      </c>
      <c r="B69" s="210"/>
      <c r="C69" s="407"/>
      <c r="D69" s="194" t="s">
        <v>947</v>
      </c>
      <c r="E69" s="210"/>
      <c r="F69" s="216" t="str">
        <f>IF(G60="覚醒型",IF(50&gt;F62,"+0",IF(60&gt;F62,"+1",IF(70&gt;F62,"+2",IF(F62&gt;=70,"+3")))),"活性補正")</f>
        <v>活性補正</v>
      </c>
      <c r="G69" s="409" t="s">
        <v>948</v>
      </c>
      <c r="H69" s="409"/>
      <c r="I69" s="217" t="s">
        <v>949</v>
      </c>
      <c r="J69" s="218"/>
      <c r="K69" s="218" t="s">
        <v>950</v>
      </c>
      <c r="L69" s="219">
        <f>L68</f>
        <v>0</v>
      </c>
      <c r="M69" s="220" t="s">
        <v>936</v>
      </c>
      <c r="N69" s="221" t="s">
        <v>926</v>
      </c>
      <c r="O69" s="221"/>
      <c r="IL69" s="223"/>
      <c r="IM69" s="15"/>
      <c r="IN69" s="15"/>
      <c r="IO69" s="15"/>
      <c r="IP69" s="15"/>
      <c r="IQ69" s="15"/>
      <c r="IR69" s="15"/>
      <c r="IS69" s="15"/>
      <c r="IT69" s="15"/>
    </row>
    <row r="70" spans="1:254" s="15" customFormat="1" ht="12" customHeight="1" x14ac:dyDescent="0.15">
      <c r="A70" s="224" t="s">
        <v>34</v>
      </c>
      <c r="B70" s="225"/>
      <c r="C70" s="224" t="s">
        <v>136</v>
      </c>
      <c r="D70" s="225"/>
      <c r="E70" s="226" t="s">
        <v>209</v>
      </c>
      <c r="F70" s="225"/>
      <c r="G70" s="226" t="s">
        <v>287</v>
      </c>
      <c r="H70" s="225"/>
      <c r="I70" s="226" t="s">
        <v>348</v>
      </c>
      <c r="J70" s="225"/>
      <c r="K70" s="226" t="s">
        <v>402</v>
      </c>
      <c r="L70" s="227"/>
    </row>
    <row r="71" spans="1:254" s="15" customFormat="1" ht="12" customHeight="1" x14ac:dyDescent="0.15">
      <c r="A71" s="228" t="s">
        <v>92</v>
      </c>
      <c r="B71" s="229"/>
      <c r="C71" s="228" t="s">
        <v>171</v>
      </c>
      <c r="D71" s="229"/>
      <c r="E71" s="230" t="s">
        <v>248</v>
      </c>
      <c r="F71" s="229"/>
      <c r="G71" s="230" t="s">
        <v>320</v>
      </c>
      <c r="H71" s="229"/>
      <c r="I71" s="230" t="s">
        <v>375</v>
      </c>
      <c r="J71" s="229"/>
      <c r="K71" s="230" t="s">
        <v>298</v>
      </c>
      <c r="L71" s="231"/>
    </row>
    <row r="73" spans="1:254" s="174" customFormat="1" ht="12.95" customHeight="1" x14ac:dyDescent="0.15">
      <c r="A73" s="434" t="s">
        <v>711</v>
      </c>
      <c r="B73" s="434"/>
      <c r="C73" s="434"/>
      <c r="D73" s="434"/>
      <c r="E73" s="435" t="s">
        <v>712</v>
      </c>
      <c r="F73" s="435"/>
      <c r="G73" s="431" t="s">
        <v>1</v>
      </c>
      <c r="H73" s="431"/>
      <c r="I73" s="431" t="s">
        <v>930</v>
      </c>
      <c r="J73" s="431"/>
      <c r="K73" s="431"/>
      <c r="L73" s="431"/>
      <c r="M73" s="432" t="s">
        <v>925</v>
      </c>
      <c r="N73" s="433" t="s">
        <v>926</v>
      </c>
      <c r="O73" s="422"/>
      <c r="P73" s="422"/>
      <c r="Q73" s="422"/>
      <c r="R73" s="422"/>
      <c r="S73" s="422"/>
      <c r="T73" s="422"/>
      <c r="U73" s="422"/>
      <c r="V73" s="422"/>
      <c r="W73" s="422"/>
      <c r="X73" s="422"/>
      <c r="Y73" s="422"/>
      <c r="Z73" s="422"/>
      <c r="AA73" s="422"/>
      <c r="AB73" s="422"/>
      <c r="AC73" s="422"/>
      <c r="AD73" s="422"/>
      <c r="AE73" s="422"/>
      <c r="AF73" s="422"/>
      <c r="AG73" s="422"/>
      <c r="AH73" s="422"/>
      <c r="AI73" s="422"/>
      <c r="AJ73" s="422"/>
      <c r="AK73" s="422"/>
      <c r="AL73" s="422"/>
      <c r="AM73" s="422"/>
      <c r="AN73" s="422"/>
      <c r="AO73" s="422"/>
      <c r="AP73" s="422"/>
      <c r="AQ73" s="422"/>
      <c r="AR73" s="422"/>
      <c r="AS73" s="422"/>
      <c r="AT73" s="422"/>
      <c r="AU73" s="422"/>
      <c r="AV73" s="422"/>
      <c r="AW73" s="422"/>
      <c r="AX73" s="422"/>
      <c r="AY73" s="422"/>
      <c r="AZ73" s="422"/>
      <c r="BA73" s="422"/>
      <c r="BB73" s="422"/>
      <c r="BC73" s="422"/>
      <c r="BD73" s="422"/>
      <c r="BE73" s="422"/>
      <c r="BF73" s="422"/>
      <c r="BG73" s="422"/>
      <c r="BH73" s="422"/>
      <c r="BI73" s="422"/>
      <c r="BJ73" s="422"/>
      <c r="BK73" s="422"/>
      <c r="BL73" s="422"/>
      <c r="BM73" s="422"/>
      <c r="BN73" s="422"/>
      <c r="BO73" s="422"/>
      <c r="BP73" s="422"/>
      <c r="BQ73" s="422"/>
      <c r="BR73" s="422"/>
      <c r="BS73" s="422"/>
      <c r="BT73" s="422"/>
      <c r="BU73" s="422"/>
      <c r="BV73" s="422"/>
      <c r="BW73" s="422"/>
      <c r="BX73" s="422"/>
      <c r="BY73" s="422"/>
      <c r="BZ73" s="422"/>
      <c r="CA73" s="422"/>
      <c r="CB73" s="422"/>
      <c r="CC73" s="422"/>
      <c r="CD73" s="422"/>
      <c r="CE73" s="422"/>
      <c r="CF73" s="422"/>
      <c r="CG73" s="422"/>
      <c r="CH73" s="422"/>
      <c r="CI73" s="422"/>
      <c r="CJ73" s="422"/>
      <c r="CK73" s="422"/>
      <c r="CL73" s="422"/>
      <c r="CM73" s="422"/>
      <c r="CN73" s="422"/>
      <c r="CO73" s="422"/>
      <c r="CP73" s="422"/>
      <c r="CQ73" s="422"/>
      <c r="CR73" s="422"/>
      <c r="CS73" s="422"/>
      <c r="CT73" s="422"/>
      <c r="CU73" s="422"/>
      <c r="CV73" s="422"/>
      <c r="CW73" s="422"/>
      <c r="CX73" s="422"/>
      <c r="CY73" s="422"/>
      <c r="CZ73" s="422"/>
      <c r="DA73" s="422"/>
      <c r="DB73" s="422"/>
      <c r="DC73" s="422"/>
      <c r="DD73" s="422"/>
      <c r="DE73" s="422"/>
      <c r="DF73" s="422"/>
      <c r="DG73" s="422"/>
      <c r="DH73" s="422"/>
      <c r="DI73" s="422"/>
      <c r="DJ73" s="422"/>
      <c r="DK73" s="422"/>
      <c r="DL73" s="422"/>
      <c r="DM73" s="422"/>
      <c r="DN73" s="422"/>
      <c r="DO73" s="422"/>
      <c r="DP73" s="422"/>
      <c r="DQ73" s="422"/>
      <c r="DR73" s="422"/>
      <c r="DS73" s="422"/>
      <c r="DT73" s="422"/>
      <c r="DU73" s="422"/>
      <c r="DV73" s="422"/>
      <c r="DW73" s="422"/>
      <c r="DX73" s="422"/>
      <c r="DY73" s="422"/>
      <c r="DZ73" s="422"/>
      <c r="EA73" s="422"/>
      <c r="EB73" s="422"/>
      <c r="EC73" s="422"/>
      <c r="ED73" s="422"/>
      <c r="EE73" s="422"/>
      <c r="EF73" s="422"/>
      <c r="EG73" s="422"/>
      <c r="EH73" s="422"/>
      <c r="EI73" s="422"/>
      <c r="EJ73" s="422"/>
      <c r="EK73" s="422"/>
      <c r="EL73" s="422"/>
      <c r="EM73" s="422"/>
      <c r="EN73" s="422"/>
      <c r="EO73" s="422"/>
      <c r="EP73" s="422"/>
      <c r="EQ73" s="422"/>
      <c r="ER73" s="422"/>
      <c r="ES73" s="422"/>
      <c r="ET73" s="422"/>
      <c r="EU73" s="422"/>
      <c r="EV73" s="422"/>
      <c r="EW73" s="422"/>
      <c r="EX73" s="422"/>
      <c r="EY73" s="422"/>
      <c r="EZ73" s="422"/>
      <c r="FA73" s="422"/>
      <c r="FB73" s="422"/>
      <c r="FC73" s="422"/>
      <c r="FD73" s="422"/>
      <c r="FE73" s="422"/>
      <c r="FF73" s="422"/>
      <c r="FG73" s="422"/>
      <c r="FH73" s="422"/>
      <c r="FI73" s="422"/>
      <c r="FJ73" s="422"/>
      <c r="FK73" s="422"/>
      <c r="FL73" s="422"/>
      <c r="FM73" s="422"/>
      <c r="FN73" s="422"/>
      <c r="FO73" s="422"/>
      <c r="FP73" s="422"/>
      <c r="FQ73" s="422"/>
      <c r="FR73" s="422"/>
      <c r="FS73" s="422"/>
      <c r="FT73" s="422"/>
      <c r="FU73" s="422"/>
      <c r="FV73" s="422"/>
      <c r="FW73" s="422"/>
      <c r="FX73" s="422"/>
      <c r="FY73" s="422"/>
      <c r="FZ73" s="422"/>
      <c r="GA73" s="422"/>
      <c r="GB73" s="422"/>
      <c r="GC73" s="422"/>
      <c r="GD73" s="422"/>
      <c r="GE73" s="422"/>
      <c r="GF73" s="422"/>
      <c r="GG73" s="422"/>
      <c r="GH73" s="422"/>
      <c r="GI73" s="422"/>
      <c r="GJ73" s="422"/>
      <c r="GK73" s="422"/>
      <c r="GL73" s="422"/>
      <c r="GM73" s="422"/>
      <c r="GN73" s="422"/>
      <c r="GO73" s="422"/>
      <c r="GP73" s="422"/>
      <c r="GQ73" s="422"/>
      <c r="GR73" s="422"/>
      <c r="GS73" s="422"/>
      <c r="GT73" s="422"/>
      <c r="GU73" s="422"/>
      <c r="GV73" s="422"/>
      <c r="GW73" s="422"/>
      <c r="GX73" s="422"/>
      <c r="GY73" s="422"/>
      <c r="GZ73" s="422"/>
      <c r="HA73" s="422"/>
      <c r="HB73" s="422"/>
      <c r="HC73" s="422"/>
      <c r="HD73" s="422"/>
      <c r="HE73" s="422"/>
      <c r="HF73" s="422"/>
      <c r="HG73" s="422"/>
      <c r="HH73" s="422"/>
      <c r="HI73" s="422"/>
      <c r="HJ73" s="422"/>
      <c r="HK73" s="422"/>
      <c r="HL73" s="422"/>
      <c r="HM73" s="422"/>
      <c r="HN73" s="422"/>
      <c r="HO73" s="422"/>
      <c r="HP73" s="422"/>
      <c r="HQ73" s="422"/>
      <c r="HR73" s="422"/>
      <c r="HS73" s="422"/>
      <c r="HT73" s="422"/>
      <c r="HU73" s="422"/>
      <c r="HV73" s="422"/>
      <c r="HW73" s="422"/>
      <c r="HX73" s="422"/>
      <c r="HY73" s="422"/>
      <c r="HZ73" s="422"/>
      <c r="IA73" s="422"/>
      <c r="IB73" s="422"/>
      <c r="IC73" s="422"/>
      <c r="ID73" s="422"/>
      <c r="IE73" s="422"/>
      <c r="IF73" s="422"/>
      <c r="IG73" s="422"/>
      <c r="IH73" s="422"/>
      <c r="II73" s="422"/>
      <c r="IJ73" s="422"/>
      <c r="IK73" s="422"/>
      <c r="IL73" s="421"/>
      <c r="IM73" s="15"/>
      <c r="IN73" s="15"/>
      <c r="IO73" s="15"/>
      <c r="IP73" s="15"/>
      <c r="IQ73" s="15"/>
      <c r="IR73" s="15"/>
      <c r="IS73" s="15"/>
      <c r="IT73" s="15"/>
    </row>
    <row r="74" spans="1:254" s="174" customFormat="1" ht="12.95" customHeight="1" x14ac:dyDescent="0.15">
      <c r="A74" s="423"/>
      <c r="B74" s="423"/>
      <c r="C74" s="423"/>
      <c r="D74" s="423"/>
      <c r="E74" s="424"/>
      <c r="F74" s="424"/>
      <c r="G74" s="425" t="s">
        <v>19</v>
      </c>
      <c r="H74" s="425"/>
      <c r="I74" s="426"/>
      <c r="J74" s="426"/>
      <c r="K74" s="426"/>
      <c r="L74" s="426"/>
      <c r="M74" s="432"/>
      <c r="N74" s="433"/>
      <c r="O74" s="422"/>
      <c r="P74" s="422"/>
      <c r="Q74" s="422"/>
      <c r="R74" s="422"/>
      <c r="S74" s="422"/>
      <c r="T74" s="422"/>
      <c r="U74" s="422"/>
      <c r="V74" s="422"/>
      <c r="W74" s="422"/>
      <c r="X74" s="422"/>
      <c r="Y74" s="422"/>
      <c r="Z74" s="422"/>
      <c r="AA74" s="422"/>
      <c r="AB74" s="422"/>
      <c r="AC74" s="422"/>
      <c r="AD74" s="422"/>
      <c r="AE74" s="422"/>
      <c r="AF74" s="422"/>
      <c r="AG74" s="422"/>
      <c r="AH74" s="422"/>
      <c r="AI74" s="422"/>
      <c r="AJ74" s="422"/>
      <c r="AK74" s="422"/>
      <c r="AL74" s="422"/>
      <c r="AM74" s="422"/>
      <c r="AN74" s="422"/>
      <c r="AO74" s="422"/>
      <c r="AP74" s="422"/>
      <c r="AQ74" s="422"/>
      <c r="AR74" s="422"/>
      <c r="AS74" s="422"/>
      <c r="AT74" s="422"/>
      <c r="AU74" s="422"/>
      <c r="AV74" s="422"/>
      <c r="AW74" s="422"/>
      <c r="AX74" s="422"/>
      <c r="AY74" s="422"/>
      <c r="AZ74" s="422"/>
      <c r="BA74" s="422"/>
      <c r="BB74" s="422"/>
      <c r="BC74" s="422"/>
      <c r="BD74" s="422"/>
      <c r="BE74" s="422"/>
      <c r="BF74" s="422"/>
      <c r="BG74" s="422"/>
      <c r="BH74" s="422"/>
      <c r="BI74" s="422"/>
      <c r="BJ74" s="422"/>
      <c r="BK74" s="422"/>
      <c r="BL74" s="422"/>
      <c r="BM74" s="422"/>
      <c r="BN74" s="422"/>
      <c r="BO74" s="422"/>
      <c r="BP74" s="422"/>
      <c r="BQ74" s="422"/>
      <c r="BR74" s="422"/>
      <c r="BS74" s="422"/>
      <c r="BT74" s="422"/>
      <c r="BU74" s="422"/>
      <c r="BV74" s="422"/>
      <c r="BW74" s="422"/>
      <c r="BX74" s="422"/>
      <c r="BY74" s="422"/>
      <c r="BZ74" s="422"/>
      <c r="CA74" s="422"/>
      <c r="CB74" s="422"/>
      <c r="CC74" s="422"/>
      <c r="CD74" s="422"/>
      <c r="CE74" s="422"/>
      <c r="CF74" s="422"/>
      <c r="CG74" s="422"/>
      <c r="CH74" s="422"/>
      <c r="CI74" s="422"/>
      <c r="CJ74" s="422"/>
      <c r="CK74" s="422"/>
      <c r="CL74" s="422"/>
      <c r="CM74" s="422"/>
      <c r="CN74" s="422"/>
      <c r="CO74" s="422"/>
      <c r="CP74" s="422"/>
      <c r="CQ74" s="422"/>
      <c r="CR74" s="422"/>
      <c r="CS74" s="422"/>
      <c r="CT74" s="422"/>
      <c r="CU74" s="422"/>
      <c r="CV74" s="422"/>
      <c r="CW74" s="422"/>
      <c r="CX74" s="422"/>
      <c r="CY74" s="422"/>
      <c r="CZ74" s="422"/>
      <c r="DA74" s="422"/>
      <c r="DB74" s="422"/>
      <c r="DC74" s="422"/>
      <c r="DD74" s="422"/>
      <c r="DE74" s="422"/>
      <c r="DF74" s="422"/>
      <c r="DG74" s="422"/>
      <c r="DH74" s="422"/>
      <c r="DI74" s="422"/>
      <c r="DJ74" s="422"/>
      <c r="DK74" s="422"/>
      <c r="DL74" s="422"/>
      <c r="DM74" s="422"/>
      <c r="DN74" s="422"/>
      <c r="DO74" s="422"/>
      <c r="DP74" s="422"/>
      <c r="DQ74" s="422"/>
      <c r="DR74" s="422"/>
      <c r="DS74" s="422"/>
      <c r="DT74" s="422"/>
      <c r="DU74" s="422"/>
      <c r="DV74" s="422"/>
      <c r="DW74" s="422"/>
      <c r="DX74" s="422"/>
      <c r="DY74" s="422"/>
      <c r="DZ74" s="422"/>
      <c r="EA74" s="422"/>
      <c r="EB74" s="422"/>
      <c r="EC74" s="422"/>
      <c r="ED74" s="422"/>
      <c r="EE74" s="422"/>
      <c r="EF74" s="422"/>
      <c r="EG74" s="422"/>
      <c r="EH74" s="422"/>
      <c r="EI74" s="422"/>
      <c r="EJ74" s="422"/>
      <c r="EK74" s="422"/>
      <c r="EL74" s="422"/>
      <c r="EM74" s="422"/>
      <c r="EN74" s="422"/>
      <c r="EO74" s="422"/>
      <c r="EP74" s="422"/>
      <c r="EQ74" s="422"/>
      <c r="ER74" s="422"/>
      <c r="ES74" s="422"/>
      <c r="ET74" s="422"/>
      <c r="EU74" s="422"/>
      <c r="EV74" s="422"/>
      <c r="EW74" s="422"/>
      <c r="EX74" s="422"/>
      <c r="EY74" s="422"/>
      <c r="EZ74" s="422"/>
      <c r="FA74" s="422"/>
      <c r="FB74" s="422"/>
      <c r="FC74" s="422"/>
      <c r="FD74" s="422"/>
      <c r="FE74" s="422"/>
      <c r="FF74" s="422"/>
      <c r="FG74" s="422"/>
      <c r="FH74" s="422"/>
      <c r="FI74" s="422"/>
      <c r="FJ74" s="422"/>
      <c r="FK74" s="422"/>
      <c r="FL74" s="422"/>
      <c r="FM74" s="422"/>
      <c r="FN74" s="422"/>
      <c r="FO74" s="422"/>
      <c r="FP74" s="422"/>
      <c r="FQ74" s="422"/>
      <c r="FR74" s="422"/>
      <c r="FS74" s="422"/>
      <c r="FT74" s="422"/>
      <c r="FU74" s="422"/>
      <c r="FV74" s="422"/>
      <c r="FW74" s="422"/>
      <c r="FX74" s="422"/>
      <c r="FY74" s="422"/>
      <c r="FZ74" s="422"/>
      <c r="GA74" s="422"/>
      <c r="GB74" s="422"/>
      <c r="GC74" s="422"/>
      <c r="GD74" s="422"/>
      <c r="GE74" s="422"/>
      <c r="GF74" s="422"/>
      <c r="GG74" s="422"/>
      <c r="GH74" s="422"/>
      <c r="GI74" s="422"/>
      <c r="GJ74" s="422"/>
      <c r="GK74" s="422"/>
      <c r="GL74" s="422"/>
      <c r="GM74" s="422"/>
      <c r="GN74" s="422"/>
      <c r="GO74" s="422"/>
      <c r="GP74" s="422"/>
      <c r="GQ74" s="422"/>
      <c r="GR74" s="422"/>
      <c r="GS74" s="422"/>
      <c r="GT74" s="422"/>
      <c r="GU74" s="422"/>
      <c r="GV74" s="422"/>
      <c r="GW74" s="422"/>
      <c r="GX74" s="422"/>
      <c r="GY74" s="422"/>
      <c r="GZ74" s="422"/>
      <c r="HA74" s="422"/>
      <c r="HB74" s="422"/>
      <c r="HC74" s="422"/>
      <c r="HD74" s="422"/>
      <c r="HE74" s="422"/>
      <c r="HF74" s="422"/>
      <c r="HG74" s="422"/>
      <c r="HH74" s="422"/>
      <c r="HI74" s="422"/>
      <c r="HJ74" s="422"/>
      <c r="HK74" s="422"/>
      <c r="HL74" s="422"/>
      <c r="HM74" s="422"/>
      <c r="HN74" s="422"/>
      <c r="HO74" s="422"/>
      <c r="HP74" s="422"/>
      <c r="HQ74" s="422"/>
      <c r="HR74" s="422"/>
      <c r="HS74" s="422"/>
      <c r="HT74" s="422"/>
      <c r="HU74" s="422"/>
      <c r="HV74" s="422"/>
      <c r="HW74" s="422"/>
      <c r="HX74" s="422"/>
      <c r="HY74" s="422"/>
      <c r="HZ74" s="422"/>
      <c r="IA74" s="422"/>
      <c r="IB74" s="422"/>
      <c r="IC74" s="422"/>
      <c r="ID74" s="422"/>
      <c r="IE74" s="422"/>
      <c r="IF74" s="422"/>
      <c r="IG74" s="422"/>
      <c r="IH74" s="422"/>
      <c r="II74" s="422"/>
      <c r="IJ74" s="422"/>
      <c r="IK74" s="422"/>
      <c r="IL74" s="422"/>
      <c r="IM74" s="15"/>
      <c r="IN74" s="15"/>
      <c r="IO74" s="15"/>
      <c r="IP74" s="15"/>
      <c r="IQ74" s="15"/>
      <c r="IR74" s="15"/>
      <c r="IS74" s="15"/>
      <c r="IT74" s="15"/>
    </row>
    <row r="75" spans="1:254" s="174" customFormat="1" ht="12.95" customHeight="1" x14ac:dyDescent="0.15">
      <c r="A75" s="427" t="s">
        <v>931</v>
      </c>
      <c r="B75" s="427"/>
      <c r="C75" s="428" t="s">
        <v>772</v>
      </c>
      <c r="D75" s="428"/>
      <c r="E75" s="429" t="s">
        <v>778</v>
      </c>
      <c r="F75" s="429"/>
      <c r="G75" s="418" t="s">
        <v>4</v>
      </c>
      <c r="H75" s="418"/>
      <c r="I75" s="426"/>
      <c r="J75" s="426"/>
      <c r="K75" s="426"/>
      <c r="L75" s="426"/>
      <c r="M75" s="432"/>
      <c r="N75" s="433"/>
      <c r="O75" s="422"/>
      <c r="P75" s="422"/>
      <c r="Q75" s="422"/>
      <c r="R75" s="422"/>
      <c r="S75" s="422"/>
      <c r="T75" s="422"/>
      <c r="U75" s="422"/>
      <c r="V75" s="422"/>
      <c r="W75" s="422"/>
      <c r="X75" s="422"/>
      <c r="Y75" s="422"/>
      <c r="Z75" s="422"/>
      <c r="AA75" s="422"/>
      <c r="AB75" s="422"/>
      <c r="AC75" s="422"/>
      <c r="AD75" s="422"/>
      <c r="AE75" s="422"/>
      <c r="AF75" s="422"/>
      <c r="AG75" s="422"/>
      <c r="AH75" s="422"/>
      <c r="AI75" s="422"/>
      <c r="AJ75" s="422"/>
      <c r="AK75" s="422"/>
      <c r="AL75" s="422"/>
      <c r="AM75" s="422"/>
      <c r="AN75" s="422"/>
      <c r="AO75" s="422"/>
      <c r="AP75" s="422"/>
      <c r="AQ75" s="422"/>
      <c r="AR75" s="422"/>
      <c r="AS75" s="422"/>
      <c r="AT75" s="422"/>
      <c r="AU75" s="422"/>
      <c r="AV75" s="422"/>
      <c r="AW75" s="422"/>
      <c r="AX75" s="422"/>
      <c r="AY75" s="422"/>
      <c r="AZ75" s="422"/>
      <c r="BA75" s="422"/>
      <c r="BB75" s="422"/>
      <c r="BC75" s="422"/>
      <c r="BD75" s="422"/>
      <c r="BE75" s="422"/>
      <c r="BF75" s="422"/>
      <c r="BG75" s="422"/>
      <c r="BH75" s="422"/>
      <c r="BI75" s="422"/>
      <c r="BJ75" s="422"/>
      <c r="BK75" s="422"/>
      <c r="BL75" s="422"/>
      <c r="BM75" s="422"/>
      <c r="BN75" s="422"/>
      <c r="BO75" s="422"/>
      <c r="BP75" s="422"/>
      <c r="BQ75" s="422"/>
      <c r="BR75" s="422"/>
      <c r="BS75" s="422"/>
      <c r="BT75" s="422"/>
      <c r="BU75" s="422"/>
      <c r="BV75" s="422"/>
      <c r="BW75" s="422"/>
      <c r="BX75" s="422"/>
      <c r="BY75" s="422"/>
      <c r="BZ75" s="422"/>
      <c r="CA75" s="422"/>
      <c r="CB75" s="422"/>
      <c r="CC75" s="422"/>
      <c r="CD75" s="422"/>
      <c r="CE75" s="422"/>
      <c r="CF75" s="422"/>
      <c r="CG75" s="422"/>
      <c r="CH75" s="422"/>
      <c r="CI75" s="422"/>
      <c r="CJ75" s="422"/>
      <c r="CK75" s="422"/>
      <c r="CL75" s="422"/>
      <c r="CM75" s="422"/>
      <c r="CN75" s="422"/>
      <c r="CO75" s="422"/>
      <c r="CP75" s="422"/>
      <c r="CQ75" s="422"/>
      <c r="CR75" s="422"/>
      <c r="CS75" s="422"/>
      <c r="CT75" s="422"/>
      <c r="CU75" s="422"/>
      <c r="CV75" s="422"/>
      <c r="CW75" s="422"/>
      <c r="CX75" s="422"/>
      <c r="CY75" s="422"/>
      <c r="CZ75" s="422"/>
      <c r="DA75" s="422"/>
      <c r="DB75" s="422"/>
      <c r="DC75" s="422"/>
      <c r="DD75" s="422"/>
      <c r="DE75" s="422"/>
      <c r="DF75" s="422"/>
      <c r="DG75" s="422"/>
      <c r="DH75" s="422"/>
      <c r="DI75" s="422"/>
      <c r="DJ75" s="422"/>
      <c r="DK75" s="422"/>
      <c r="DL75" s="422"/>
      <c r="DM75" s="422"/>
      <c r="DN75" s="422"/>
      <c r="DO75" s="422"/>
      <c r="DP75" s="422"/>
      <c r="DQ75" s="422"/>
      <c r="DR75" s="422"/>
      <c r="DS75" s="422"/>
      <c r="DT75" s="422"/>
      <c r="DU75" s="422"/>
      <c r="DV75" s="422"/>
      <c r="DW75" s="422"/>
      <c r="DX75" s="422"/>
      <c r="DY75" s="422"/>
      <c r="DZ75" s="422"/>
      <c r="EA75" s="422"/>
      <c r="EB75" s="422"/>
      <c r="EC75" s="422"/>
      <c r="ED75" s="422"/>
      <c r="EE75" s="422"/>
      <c r="EF75" s="422"/>
      <c r="EG75" s="422"/>
      <c r="EH75" s="422"/>
      <c r="EI75" s="422"/>
      <c r="EJ75" s="422"/>
      <c r="EK75" s="422"/>
      <c r="EL75" s="422"/>
      <c r="EM75" s="422"/>
      <c r="EN75" s="422"/>
      <c r="EO75" s="422"/>
      <c r="EP75" s="422"/>
      <c r="EQ75" s="422"/>
      <c r="ER75" s="422"/>
      <c r="ES75" s="422"/>
      <c r="ET75" s="422"/>
      <c r="EU75" s="422"/>
      <c r="EV75" s="422"/>
      <c r="EW75" s="422"/>
      <c r="EX75" s="422"/>
      <c r="EY75" s="422"/>
      <c r="EZ75" s="422"/>
      <c r="FA75" s="422"/>
      <c r="FB75" s="422"/>
      <c r="FC75" s="422"/>
      <c r="FD75" s="422"/>
      <c r="FE75" s="422"/>
      <c r="FF75" s="422"/>
      <c r="FG75" s="422"/>
      <c r="FH75" s="422"/>
      <c r="FI75" s="422"/>
      <c r="FJ75" s="422"/>
      <c r="FK75" s="422"/>
      <c r="FL75" s="422"/>
      <c r="FM75" s="422"/>
      <c r="FN75" s="422"/>
      <c r="FO75" s="422"/>
      <c r="FP75" s="422"/>
      <c r="FQ75" s="422"/>
      <c r="FR75" s="422"/>
      <c r="FS75" s="422"/>
      <c r="FT75" s="422"/>
      <c r="FU75" s="422"/>
      <c r="FV75" s="422"/>
      <c r="FW75" s="422"/>
      <c r="FX75" s="422"/>
      <c r="FY75" s="422"/>
      <c r="FZ75" s="422"/>
      <c r="GA75" s="422"/>
      <c r="GB75" s="422"/>
      <c r="GC75" s="422"/>
      <c r="GD75" s="422"/>
      <c r="GE75" s="422"/>
      <c r="GF75" s="422"/>
      <c r="GG75" s="422"/>
      <c r="GH75" s="422"/>
      <c r="GI75" s="422"/>
      <c r="GJ75" s="422"/>
      <c r="GK75" s="422"/>
      <c r="GL75" s="422"/>
      <c r="GM75" s="422"/>
      <c r="GN75" s="422"/>
      <c r="GO75" s="422"/>
      <c r="GP75" s="422"/>
      <c r="GQ75" s="422"/>
      <c r="GR75" s="422"/>
      <c r="GS75" s="422"/>
      <c r="GT75" s="422"/>
      <c r="GU75" s="422"/>
      <c r="GV75" s="422"/>
      <c r="GW75" s="422"/>
      <c r="GX75" s="422"/>
      <c r="GY75" s="422"/>
      <c r="GZ75" s="422"/>
      <c r="HA75" s="422"/>
      <c r="HB75" s="422"/>
      <c r="HC75" s="422"/>
      <c r="HD75" s="422"/>
      <c r="HE75" s="422"/>
      <c r="HF75" s="422"/>
      <c r="HG75" s="422"/>
      <c r="HH75" s="422"/>
      <c r="HI75" s="422"/>
      <c r="HJ75" s="422"/>
      <c r="HK75" s="422"/>
      <c r="HL75" s="422"/>
      <c r="HM75" s="422"/>
      <c r="HN75" s="422"/>
      <c r="HO75" s="422"/>
      <c r="HP75" s="422"/>
      <c r="HQ75" s="422"/>
      <c r="HR75" s="422"/>
      <c r="HS75" s="422"/>
      <c r="HT75" s="422"/>
      <c r="HU75" s="422"/>
      <c r="HV75" s="422"/>
      <c r="HW75" s="422"/>
      <c r="HX75" s="422"/>
      <c r="HY75" s="422"/>
      <c r="HZ75" s="422"/>
      <c r="IA75" s="422"/>
      <c r="IB75" s="422"/>
      <c r="IC75" s="422"/>
      <c r="ID75" s="422"/>
      <c r="IE75" s="422"/>
      <c r="IF75" s="422"/>
      <c r="IG75" s="422"/>
      <c r="IH75" s="422"/>
      <c r="II75" s="422"/>
      <c r="IJ75" s="422"/>
      <c r="IK75" s="422"/>
      <c r="IL75" s="422"/>
      <c r="IM75" s="15"/>
      <c r="IN75" s="15"/>
      <c r="IO75" s="15"/>
      <c r="IP75" s="15"/>
      <c r="IQ75" s="15"/>
      <c r="IR75" s="15"/>
      <c r="IS75" s="15"/>
      <c r="IT75" s="15"/>
    </row>
    <row r="76" spans="1:254" s="174" customFormat="1" ht="12.95" customHeight="1" x14ac:dyDescent="0.15">
      <c r="A76" s="175">
        <f>B76+SUM(O80:IL80)</f>
        <v>0</v>
      </c>
      <c r="B76" s="176">
        <f>J80+L80</f>
        <v>0</v>
      </c>
      <c r="C76" s="177">
        <f>D76-SUM(O81:IL81)+SUM(O82:IL82)</f>
        <v>0</v>
      </c>
      <c r="D76" s="178">
        <f>J82+L82</f>
        <v>0</v>
      </c>
      <c r="E76" s="179">
        <f>J83+L83</f>
        <v>0</v>
      </c>
      <c r="F76" s="180">
        <f>E76+SUM(O83:IL83)</f>
        <v>0</v>
      </c>
      <c r="G76" s="430" t="s">
        <v>19</v>
      </c>
      <c r="H76" s="430"/>
      <c r="I76" s="426"/>
      <c r="J76" s="426"/>
      <c r="K76" s="426"/>
      <c r="L76" s="426"/>
      <c r="M76" s="432"/>
      <c r="N76" s="432"/>
      <c r="O76" s="422"/>
      <c r="P76" s="422"/>
      <c r="Q76" s="422"/>
      <c r="R76" s="422"/>
      <c r="S76" s="422"/>
      <c r="T76" s="422"/>
      <c r="U76" s="422"/>
      <c r="V76" s="422"/>
      <c r="W76" s="422"/>
      <c r="X76" s="422"/>
      <c r="Y76" s="422"/>
      <c r="Z76" s="422"/>
      <c r="AA76" s="422"/>
      <c r="AB76" s="422"/>
      <c r="AC76" s="422"/>
      <c r="AD76" s="422"/>
      <c r="AE76" s="422"/>
      <c r="AF76" s="422"/>
      <c r="AG76" s="422"/>
      <c r="AH76" s="422"/>
      <c r="AI76" s="422"/>
      <c r="AJ76" s="422"/>
      <c r="AK76" s="422"/>
      <c r="AL76" s="422"/>
      <c r="AM76" s="422"/>
      <c r="AN76" s="422"/>
      <c r="AO76" s="422"/>
      <c r="AP76" s="422"/>
      <c r="AQ76" s="422"/>
      <c r="AR76" s="422"/>
      <c r="AS76" s="422"/>
      <c r="AT76" s="422"/>
      <c r="AU76" s="422"/>
      <c r="AV76" s="422"/>
      <c r="AW76" s="422"/>
      <c r="AX76" s="422"/>
      <c r="AY76" s="422"/>
      <c r="AZ76" s="422"/>
      <c r="BA76" s="422"/>
      <c r="BB76" s="422"/>
      <c r="BC76" s="422"/>
      <c r="BD76" s="422"/>
      <c r="BE76" s="422"/>
      <c r="BF76" s="422"/>
      <c r="BG76" s="422"/>
      <c r="BH76" s="422"/>
      <c r="BI76" s="422"/>
      <c r="BJ76" s="422"/>
      <c r="BK76" s="422"/>
      <c r="BL76" s="422"/>
      <c r="BM76" s="422"/>
      <c r="BN76" s="422"/>
      <c r="BO76" s="422"/>
      <c r="BP76" s="422"/>
      <c r="BQ76" s="422"/>
      <c r="BR76" s="422"/>
      <c r="BS76" s="422"/>
      <c r="BT76" s="422"/>
      <c r="BU76" s="422"/>
      <c r="BV76" s="422"/>
      <c r="BW76" s="422"/>
      <c r="BX76" s="422"/>
      <c r="BY76" s="422"/>
      <c r="BZ76" s="422"/>
      <c r="CA76" s="422"/>
      <c r="CB76" s="422"/>
      <c r="CC76" s="422"/>
      <c r="CD76" s="422"/>
      <c r="CE76" s="422"/>
      <c r="CF76" s="422"/>
      <c r="CG76" s="422"/>
      <c r="CH76" s="422"/>
      <c r="CI76" s="422"/>
      <c r="CJ76" s="422"/>
      <c r="CK76" s="422"/>
      <c r="CL76" s="422"/>
      <c r="CM76" s="422"/>
      <c r="CN76" s="422"/>
      <c r="CO76" s="422"/>
      <c r="CP76" s="422"/>
      <c r="CQ76" s="422"/>
      <c r="CR76" s="422"/>
      <c r="CS76" s="422"/>
      <c r="CT76" s="422"/>
      <c r="CU76" s="422"/>
      <c r="CV76" s="422"/>
      <c r="CW76" s="422"/>
      <c r="CX76" s="422"/>
      <c r="CY76" s="422"/>
      <c r="CZ76" s="422"/>
      <c r="DA76" s="422"/>
      <c r="DB76" s="422"/>
      <c r="DC76" s="422"/>
      <c r="DD76" s="422"/>
      <c r="DE76" s="422"/>
      <c r="DF76" s="422"/>
      <c r="DG76" s="422"/>
      <c r="DH76" s="422"/>
      <c r="DI76" s="422"/>
      <c r="DJ76" s="422"/>
      <c r="DK76" s="422"/>
      <c r="DL76" s="422"/>
      <c r="DM76" s="422"/>
      <c r="DN76" s="422"/>
      <c r="DO76" s="422"/>
      <c r="DP76" s="422"/>
      <c r="DQ76" s="422"/>
      <c r="DR76" s="422"/>
      <c r="DS76" s="422"/>
      <c r="DT76" s="422"/>
      <c r="DU76" s="422"/>
      <c r="DV76" s="422"/>
      <c r="DW76" s="422"/>
      <c r="DX76" s="422"/>
      <c r="DY76" s="422"/>
      <c r="DZ76" s="422"/>
      <c r="EA76" s="422"/>
      <c r="EB76" s="422"/>
      <c r="EC76" s="422"/>
      <c r="ED76" s="422"/>
      <c r="EE76" s="422"/>
      <c r="EF76" s="422"/>
      <c r="EG76" s="422"/>
      <c r="EH76" s="422"/>
      <c r="EI76" s="422"/>
      <c r="EJ76" s="422"/>
      <c r="EK76" s="422"/>
      <c r="EL76" s="422"/>
      <c r="EM76" s="422"/>
      <c r="EN76" s="422"/>
      <c r="EO76" s="422"/>
      <c r="EP76" s="422"/>
      <c r="EQ76" s="422"/>
      <c r="ER76" s="422"/>
      <c r="ES76" s="422"/>
      <c r="ET76" s="422"/>
      <c r="EU76" s="422"/>
      <c r="EV76" s="422"/>
      <c r="EW76" s="422"/>
      <c r="EX76" s="422"/>
      <c r="EY76" s="422"/>
      <c r="EZ76" s="422"/>
      <c r="FA76" s="422"/>
      <c r="FB76" s="422"/>
      <c r="FC76" s="422"/>
      <c r="FD76" s="422"/>
      <c r="FE76" s="422"/>
      <c r="FF76" s="422"/>
      <c r="FG76" s="422"/>
      <c r="FH76" s="422"/>
      <c r="FI76" s="422"/>
      <c r="FJ76" s="422"/>
      <c r="FK76" s="422"/>
      <c r="FL76" s="422"/>
      <c r="FM76" s="422"/>
      <c r="FN76" s="422"/>
      <c r="FO76" s="422"/>
      <c r="FP76" s="422"/>
      <c r="FQ76" s="422"/>
      <c r="FR76" s="422"/>
      <c r="FS76" s="422"/>
      <c r="FT76" s="422"/>
      <c r="FU76" s="422"/>
      <c r="FV76" s="422"/>
      <c r="FW76" s="422"/>
      <c r="FX76" s="422"/>
      <c r="FY76" s="422"/>
      <c r="FZ76" s="422"/>
      <c r="GA76" s="422"/>
      <c r="GB76" s="422"/>
      <c r="GC76" s="422"/>
      <c r="GD76" s="422"/>
      <c r="GE76" s="422"/>
      <c r="GF76" s="422"/>
      <c r="GG76" s="422"/>
      <c r="GH76" s="422"/>
      <c r="GI76" s="422"/>
      <c r="GJ76" s="422"/>
      <c r="GK76" s="422"/>
      <c r="GL76" s="422"/>
      <c r="GM76" s="422"/>
      <c r="GN76" s="422"/>
      <c r="GO76" s="422"/>
      <c r="GP76" s="422"/>
      <c r="GQ76" s="422"/>
      <c r="GR76" s="422"/>
      <c r="GS76" s="422"/>
      <c r="GT76" s="422"/>
      <c r="GU76" s="422"/>
      <c r="GV76" s="422"/>
      <c r="GW76" s="422"/>
      <c r="GX76" s="422"/>
      <c r="GY76" s="422"/>
      <c r="GZ76" s="422"/>
      <c r="HA76" s="422"/>
      <c r="HB76" s="422"/>
      <c r="HC76" s="422"/>
      <c r="HD76" s="422"/>
      <c r="HE76" s="422"/>
      <c r="HF76" s="422"/>
      <c r="HG76" s="422"/>
      <c r="HH76" s="422"/>
      <c r="HI76" s="422"/>
      <c r="HJ76" s="422"/>
      <c r="HK76" s="422"/>
      <c r="HL76" s="422"/>
      <c r="HM76" s="422"/>
      <c r="HN76" s="422"/>
      <c r="HO76" s="422"/>
      <c r="HP76" s="422"/>
      <c r="HQ76" s="422"/>
      <c r="HR76" s="422"/>
      <c r="HS76" s="422"/>
      <c r="HT76" s="422"/>
      <c r="HU76" s="422"/>
      <c r="HV76" s="422"/>
      <c r="HW76" s="422"/>
      <c r="HX76" s="422"/>
      <c r="HY76" s="422"/>
      <c r="HZ76" s="422"/>
      <c r="IA76" s="422"/>
      <c r="IB76" s="422"/>
      <c r="IC76" s="422"/>
      <c r="ID76" s="422"/>
      <c r="IE76" s="422"/>
      <c r="IF76" s="422"/>
      <c r="IG76" s="422"/>
      <c r="IH76" s="422"/>
      <c r="II76" s="422"/>
      <c r="IJ76" s="422"/>
      <c r="IK76" s="422"/>
      <c r="IL76" s="422"/>
      <c r="IM76" s="15"/>
      <c r="IN76" s="15"/>
      <c r="IO76" s="15"/>
      <c r="IP76" s="15"/>
      <c r="IQ76" s="15"/>
      <c r="IR76" s="15"/>
      <c r="IS76" s="15"/>
      <c r="IT76" s="15"/>
    </row>
    <row r="77" spans="1:254" s="174" customFormat="1" ht="12" customHeight="1" x14ac:dyDescent="0.15">
      <c r="A77" s="415" t="s">
        <v>793</v>
      </c>
      <c r="B77" s="416"/>
      <c r="C77" s="181" t="s">
        <v>932</v>
      </c>
      <c r="D77" s="182" t="s">
        <v>933</v>
      </c>
      <c r="E77" s="417" t="str">
        <f>IF(F76&lt;100,IF(F76&lt;50,"通常状態",IF(F76&lt;60,"暴走Lv1 ",IF(F76&lt;70,"暴走Lv2",IF(F76&lt;80,"暴走Lv3",IF(F76&lt;90,"暴走Lv4","暴走Lv5"))))),IF(F76&lt;110,"臨界Lv1",IF(F76&lt;120,"臨界Lv2",IF(F76&lt;130,"臨界Lv3",IF(F76&lt;140,"臨界Lv4",IF(F76&lt;150,"臨界Lv5",IF(F76&lt;150,"活性Lv5","因子崩壊")))))))</f>
        <v>通常状態</v>
      </c>
      <c r="F77" s="417"/>
      <c r="G77" s="418" t="s">
        <v>15</v>
      </c>
      <c r="H77" s="418"/>
      <c r="I77" s="426"/>
      <c r="J77" s="426"/>
      <c r="K77" s="426"/>
      <c r="L77" s="426"/>
      <c r="M77" s="432"/>
      <c r="N77" s="432"/>
      <c r="O77" s="422"/>
      <c r="P77" s="422"/>
      <c r="Q77" s="422"/>
      <c r="R77" s="422"/>
      <c r="S77" s="422"/>
      <c r="T77" s="422"/>
      <c r="U77" s="422"/>
      <c r="V77" s="422"/>
      <c r="W77" s="422"/>
      <c r="X77" s="422"/>
      <c r="Y77" s="422"/>
      <c r="Z77" s="422"/>
      <c r="AA77" s="422"/>
      <c r="AB77" s="422"/>
      <c r="AC77" s="422"/>
      <c r="AD77" s="422"/>
      <c r="AE77" s="422"/>
      <c r="AF77" s="422"/>
      <c r="AG77" s="422"/>
      <c r="AH77" s="422"/>
      <c r="AI77" s="422"/>
      <c r="AJ77" s="422"/>
      <c r="AK77" s="422"/>
      <c r="AL77" s="422"/>
      <c r="AM77" s="422"/>
      <c r="AN77" s="422"/>
      <c r="AO77" s="422"/>
      <c r="AP77" s="422"/>
      <c r="AQ77" s="422"/>
      <c r="AR77" s="422"/>
      <c r="AS77" s="422"/>
      <c r="AT77" s="422"/>
      <c r="AU77" s="422"/>
      <c r="AV77" s="422"/>
      <c r="AW77" s="422"/>
      <c r="AX77" s="422"/>
      <c r="AY77" s="422"/>
      <c r="AZ77" s="422"/>
      <c r="BA77" s="422"/>
      <c r="BB77" s="422"/>
      <c r="BC77" s="422"/>
      <c r="BD77" s="422"/>
      <c r="BE77" s="422"/>
      <c r="BF77" s="422"/>
      <c r="BG77" s="422"/>
      <c r="BH77" s="422"/>
      <c r="BI77" s="422"/>
      <c r="BJ77" s="422"/>
      <c r="BK77" s="422"/>
      <c r="BL77" s="422"/>
      <c r="BM77" s="422"/>
      <c r="BN77" s="422"/>
      <c r="BO77" s="422"/>
      <c r="BP77" s="422"/>
      <c r="BQ77" s="422"/>
      <c r="BR77" s="422"/>
      <c r="BS77" s="422"/>
      <c r="BT77" s="422"/>
      <c r="BU77" s="422"/>
      <c r="BV77" s="422"/>
      <c r="BW77" s="422"/>
      <c r="BX77" s="422"/>
      <c r="BY77" s="422"/>
      <c r="BZ77" s="422"/>
      <c r="CA77" s="422"/>
      <c r="CB77" s="422"/>
      <c r="CC77" s="422"/>
      <c r="CD77" s="422"/>
      <c r="CE77" s="422"/>
      <c r="CF77" s="422"/>
      <c r="CG77" s="422"/>
      <c r="CH77" s="422"/>
      <c r="CI77" s="422"/>
      <c r="CJ77" s="422"/>
      <c r="CK77" s="422"/>
      <c r="CL77" s="422"/>
      <c r="CM77" s="422"/>
      <c r="CN77" s="422"/>
      <c r="CO77" s="422"/>
      <c r="CP77" s="422"/>
      <c r="CQ77" s="422"/>
      <c r="CR77" s="422"/>
      <c r="CS77" s="422"/>
      <c r="CT77" s="422"/>
      <c r="CU77" s="422"/>
      <c r="CV77" s="422"/>
      <c r="CW77" s="422"/>
      <c r="CX77" s="422"/>
      <c r="CY77" s="422"/>
      <c r="CZ77" s="422"/>
      <c r="DA77" s="422"/>
      <c r="DB77" s="422"/>
      <c r="DC77" s="422"/>
      <c r="DD77" s="422"/>
      <c r="DE77" s="422"/>
      <c r="DF77" s="422"/>
      <c r="DG77" s="422"/>
      <c r="DH77" s="422"/>
      <c r="DI77" s="422"/>
      <c r="DJ77" s="422"/>
      <c r="DK77" s="422"/>
      <c r="DL77" s="422"/>
      <c r="DM77" s="422"/>
      <c r="DN77" s="422"/>
      <c r="DO77" s="422"/>
      <c r="DP77" s="422"/>
      <c r="DQ77" s="422"/>
      <c r="DR77" s="422"/>
      <c r="DS77" s="422"/>
      <c r="DT77" s="422"/>
      <c r="DU77" s="422"/>
      <c r="DV77" s="422"/>
      <c r="DW77" s="422"/>
      <c r="DX77" s="422"/>
      <c r="DY77" s="422"/>
      <c r="DZ77" s="422"/>
      <c r="EA77" s="422"/>
      <c r="EB77" s="422"/>
      <c r="EC77" s="422"/>
      <c r="ED77" s="422"/>
      <c r="EE77" s="422"/>
      <c r="EF77" s="422"/>
      <c r="EG77" s="422"/>
      <c r="EH77" s="422"/>
      <c r="EI77" s="422"/>
      <c r="EJ77" s="422"/>
      <c r="EK77" s="422"/>
      <c r="EL77" s="422"/>
      <c r="EM77" s="422"/>
      <c r="EN77" s="422"/>
      <c r="EO77" s="422"/>
      <c r="EP77" s="422"/>
      <c r="EQ77" s="422"/>
      <c r="ER77" s="422"/>
      <c r="ES77" s="422"/>
      <c r="ET77" s="422"/>
      <c r="EU77" s="422"/>
      <c r="EV77" s="422"/>
      <c r="EW77" s="422"/>
      <c r="EX77" s="422"/>
      <c r="EY77" s="422"/>
      <c r="EZ77" s="422"/>
      <c r="FA77" s="422"/>
      <c r="FB77" s="422"/>
      <c r="FC77" s="422"/>
      <c r="FD77" s="422"/>
      <c r="FE77" s="422"/>
      <c r="FF77" s="422"/>
      <c r="FG77" s="422"/>
      <c r="FH77" s="422"/>
      <c r="FI77" s="422"/>
      <c r="FJ77" s="422"/>
      <c r="FK77" s="422"/>
      <c r="FL77" s="422"/>
      <c r="FM77" s="422"/>
      <c r="FN77" s="422"/>
      <c r="FO77" s="422"/>
      <c r="FP77" s="422"/>
      <c r="FQ77" s="422"/>
      <c r="FR77" s="422"/>
      <c r="FS77" s="422"/>
      <c r="FT77" s="422"/>
      <c r="FU77" s="422"/>
      <c r="FV77" s="422"/>
      <c r="FW77" s="422"/>
      <c r="FX77" s="422"/>
      <c r="FY77" s="422"/>
      <c r="FZ77" s="422"/>
      <c r="GA77" s="422"/>
      <c r="GB77" s="422"/>
      <c r="GC77" s="422"/>
      <c r="GD77" s="422"/>
      <c r="GE77" s="422"/>
      <c r="GF77" s="422"/>
      <c r="GG77" s="422"/>
      <c r="GH77" s="422"/>
      <c r="GI77" s="422"/>
      <c r="GJ77" s="422"/>
      <c r="GK77" s="422"/>
      <c r="GL77" s="422"/>
      <c r="GM77" s="422"/>
      <c r="GN77" s="422"/>
      <c r="GO77" s="422"/>
      <c r="GP77" s="422"/>
      <c r="GQ77" s="422"/>
      <c r="GR77" s="422"/>
      <c r="GS77" s="422"/>
      <c r="GT77" s="422"/>
      <c r="GU77" s="422"/>
      <c r="GV77" s="422"/>
      <c r="GW77" s="422"/>
      <c r="GX77" s="422"/>
      <c r="GY77" s="422"/>
      <c r="GZ77" s="422"/>
      <c r="HA77" s="422"/>
      <c r="HB77" s="422"/>
      <c r="HC77" s="422"/>
      <c r="HD77" s="422"/>
      <c r="HE77" s="422"/>
      <c r="HF77" s="422"/>
      <c r="HG77" s="422"/>
      <c r="HH77" s="422"/>
      <c r="HI77" s="422"/>
      <c r="HJ77" s="422"/>
      <c r="HK77" s="422"/>
      <c r="HL77" s="422"/>
      <c r="HM77" s="422"/>
      <c r="HN77" s="422"/>
      <c r="HO77" s="422"/>
      <c r="HP77" s="422"/>
      <c r="HQ77" s="422"/>
      <c r="HR77" s="422"/>
      <c r="HS77" s="422"/>
      <c r="HT77" s="422"/>
      <c r="HU77" s="422"/>
      <c r="HV77" s="422"/>
      <c r="HW77" s="422"/>
      <c r="HX77" s="422"/>
      <c r="HY77" s="422"/>
      <c r="HZ77" s="422"/>
      <c r="IA77" s="422"/>
      <c r="IB77" s="422"/>
      <c r="IC77" s="422"/>
      <c r="ID77" s="422"/>
      <c r="IE77" s="422"/>
      <c r="IF77" s="422"/>
      <c r="IG77" s="422"/>
      <c r="IH77" s="422"/>
      <c r="II77" s="422"/>
      <c r="IJ77" s="422"/>
      <c r="IK77" s="422"/>
      <c r="IL77" s="422"/>
      <c r="IM77" s="15"/>
      <c r="IN77" s="15"/>
      <c r="IO77" s="15"/>
      <c r="IP77" s="15"/>
      <c r="IQ77" s="15"/>
      <c r="IR77" s="15"/>
      <c r="IS77" s="15"/>
      <c r="IT77" s="15"/>
    </row>
    <row r="78" spans="1:254" s="174" customFormat="1" ht="12.95" customHeight="1" x14ac:dyDescent="0.15">
      <c r="A78" s="415"/>
      <c r="B78" s="416"/>
      <c r="C78" s="183">
        <f>SUM(L81:IQ81)</f>
        <v>0</v>
      </c>
      <c r="D78" s="184">
        <f>ROUNDDOWN((C78/5),0)+SUM(I79:IL79)</f>
        <v>0</v>
      </c>
      <c r="E78" s="419" t="str">
        <f>IF(F76&lt;50,"未活性",IF(F76&lt;60,"活性Lv1",IF(F76&lt;70,"活性Lv2",IF(F76&lt;80,"活性Lv3",IF(F76&lt;90,"活性Lv4",IF(F76&lt;100,"活性Lv5",IF(F76&lt;150,"活性Lv5","強制キャラロスト")))))))</f>
        <v>未活性</v>
      </c>
      <c r="F78" s="419"/>
      <c r="G78" s="420" t="s">
        <v>19</v>
      </c>
      <c r="H78" s="420"/>
      <c r="I78" s="426"/>
      <c r="J78" s="426"/>
      <c r="K78" s="426"/>
      <c r="L78" s="426"/>
      <c r="M78" s="432"/>
      <c r="N78" s="432"/>
      <c r="O78" s="422"/>
      <c r="P78" s="422"/>
      <c r="Q78" s="422"/>
      <c r="R78" s="422"/>
      <c r="S78" s="422"/>
      <c r="T78" s="422"/>
      <c r="U78" s="422"/>
      <c r="V78" s="422"/>
      <c r="W78" s="422"/>
      <c r="X78" s="422"/>
      <c r="Y78" s="422"/>
      <c r="Z78" s="422"/>
      <c r="AA78" s="422"/>
      <c r="AB78" s="422"/>
      <c r="AC78" s="422"/>
      <c r="AD78" s="422"/>
      <c r="AE78" s="422"/>
      <c r="AF78" s="422"/>
      <c r="AG78" s="422"/>
      <c r="AH78" s="422"/>
      <c r="AI78" s="422"/>
      <c r="AJ78" s="422"/>
      <c r="AK78" s="422"/>
      <c r="AL78" s="422"/>
      <c r="AM78" s="422"/>
      <c r="AN78" s="422"/>
      <c r="AO78" s="422"/>
      <c r="AP78" s="422"/>
      <c r="AQ78" s="422"/>
      <c r="AR78" s="422"/>
      <c r="AS78" s="422"/>
      <c r="AT78" s="422"/>
      <c r="AU78" s="422"/>
      <c r="AV78" s="422"/>
      <c r="AW78" s="422"/>
      <c r="AX78" s="422"/>
      <c r="AY78" s="422"/>
      <c r="AZ78" s="422"/>
      <c r="BA78" s="422"/>
      <c r="BB78" s="422"/>
      <c r="BC78" s="422"/>
      <c r="BD78" s="422"/>
      <c r="BE78" s="422"/>
      <c r="BF78" s="422"/>
      <c r="BG78" s="422"/>
      <c r="BH78" s="422"/>
      <c r="BI78" s="422"/>
      <c r="BJ78" s="422"/>
      <c r="BK78" s="422"/>
      <c r="BL78" s="422"/>
      <c r="BM78" s="422"/>
      <c r="BN78" s="422"/>
      <c r="BO78" s="422"/>
      <c r="BP78" s="422"/>
      <c r="BQ78" s="422"/>
      <c r="BR78" s="422"/>
      <c r="BS78" s="422"/>
      <c r="BT78" s="422"/>
      <c r="BU78" s="422"/>
      <c r="BV78" s="422"/>
      <c r="BW78" s="422"/>
      <c r="BX78" s="422"/>
      <c r="BY78" s="422"/>
      <c r="BZ78" s="422"/>
      <c r="CA78" s="422"/>
      <c r="CB78" s="422"/>
      <c r="CC78" s="422"/>
      <c r="CD78" s="422"/>
      <c r="CE78" s="422"/>
      <c r="CF78" s="422"/>
      <c r="CG78" s="422"/>
      <c r="CH78" s="422"/>
      <c r="CI78" s="422"/>
      <c r="CJ78" s="422"/>
      <c r="CK78" s="422"/>
      <c r="CL78" s="422"/>
      <c r="CM78" s="422"/>
      <c r="CN78" s="422"/>
      <c r="CO78" s="422"/>
      <c r="CP78" s="422"/>
      <c r="CQ78" s="422"/>
      <c r="CR78" s="422"/>
      <c r="CS78" s="422"/>
      <c r="CT78" s="422"/>
      <c r="CU78" s="422"/>
      <c r="CV78" s="422"/>
      <c r="CW78" s="422"/>
      <c r="CX78" s="422"/>
      <c r="CY78" s="422"/>
      <c r="CZ78" s="422"/>
      <c r="DA78" s="422"/>
      <c r="DB78" s="422"/>
      <c r="DC78" s="422"/>
      <c r="DD78" s="422"/>
      <c r="DE78" s="422"/>
      <c r="DF78" s="422"/>
      <c r="DG78" s="422"/>
      <c r="DH78" s="422"/>
      <c r="DI78" s="422"/>
      <c r="DJ78" s="422"/>
      <c r="DK78" s="422"/>
      <c r="DL78" s="422"/>
      <c r="DM78" s="422"/>
      <c r="DN78" s="422"/>
      <c r="DO78" s="422"/>
      <c r="DP78" s="422"/>
      <c r="DQ78" s="422"/>
      <c r="DR78" s="422"/>
      <c r="DS78" s="422"/>
      <c r="DT78" s="422"/>
      <c r="DU78" s="422"/>
      <c r="DV78" s="422"/>
      <c r="DW78" s="422"/>
      <c r="DX78" s="422"/>
      <c r="DY78" s="422"/>
      <c r="DZ78" s="422"/>
      <c r="EA78" s="422"/>
      <c r="EB78" s="422"/>
      <c r="EC78" s="422"/>
      <c r="ED78" s="422"/>
      <c r="EE78" s="422"/>
      <c r="EF78" s="422"/>
      <c r="EG78" s="422"/>
      <c r="EH78" s="422"/>
      <c r="EI78" s="422"/>
      <c r="EJ78" s="422"/>
      <c r="EK78" s="422"/>
      <c r="EL78" s="422"/>
      <c r="EM78" s="422"/>
      <c r="EN78" s="422"/>
      <c r="EO78" s="422"/>
      <c r="EP78" s="422"/>
      <c r="EQ78" s="422"/>
      <c r="ER78" s="422"/>
      <c r="ES78" s="422"/>
      <c r="ET78" s="422"/>
      <c r="EU78" s="422"/>
      <c r="EV78" s="422"/>
      <c r="EW78" s="422"/>
      <c r="EX78" s="422"/>
      <c r="EY78" s="422"/>
      <c r="EZ78" s="422"/>
      <c r="FA78" s="422"/>
      <c r="FB78" s="422"/>
      <c r="FC78" s="422"/>
      <c r="FD78" s="422"/>
      <c r="FE78" s="422"/>
      <c r="FF78" s="422"/>
      <c r="FG78" s="422"/>
      <c r="FH78" s="422"/>
      <c r="FI78" s="422"/>
      <c r="FJ78" s="422"/>
      <c r="FK78" s="422"/>
      <c r="FL78" s="422"/>
      <c r="FM78" s="422"/>
      <c r="FN78" s="422"/>
      <c r="FO78" s="422"/>
      <c r="FP78" s="422"/>
      <c r="FQ78" s="422"/>
      <c r="FR78" s="422"/>
      <c r="FS78" s="422"/>
      <c r="FT78" s="422"/>
      <c r="FU78" s="422"/>
      <c r="FV78" s="422"/>
      <c r="FW78" s="422"/>
      <c r="FX78" s="422"/>
      <c r="FY78" s="422"/>
      <c r="FZ78" s="422"/>
      <c r="GA78" s="422"/>
      <c r="GB78" s="422"/>
      <c r="GC78" s="422"/>
      <c r="GD78" s="422"/>
      <c r="GE78" s="422"/>
      <c r="GF78" s="422"/>
      <c r="GG78" s="422"/>
      <c r="GH78" s="422"/>
      <c r="GI78" s="422"/>
      <c r="GJ78" s="422"/>
      <c r="GK78" s="422"/>
      <c r="GL78" s="422"/>
      <c r="GM78" s="422"/>
      <c r="GN78" s="422"/>
      <c r="GO78" s="422"/>
      <c r="GP78" s="422"/>
      <c r="GQ78" s="422"/>
      <c r="GR78" s="422"/>
      <c r="GS78" s="422"/>
      <c r="GT78" s="422"/>
      <c r="GU78" s="422"/>
      <c r="GV78" s="422"/>
      <c r="GW78" s="422"/>
      <c r="GX78" s="422"/>
      <c r="GY78" s="422"/>
      <c r="GZ78" s="422"/>
      <c r="HA78" s="422"/>
      <c r="HB78" s="422"/>
      <c r="HC78" s="422"/>
      <c r="HD78" s="422"/>
      <c r="HE78" s="422"/>
      <c r="HF78" s="422"/>
      <c r="HG78" s="422"/>
      <c r="HH78" s="422"/>
      <c r="HI78" s="422"/>
      <c r="HJ78" s="422"/>
      <c r="HK78" s="422"/>
      <c r="HL78" s="422"/>
      <c r="HM78" s="422"/>
      <c r="HN78" s="422"/>
      <c r="HO78" s="422"/>
      <c r="HP78" s="422"/>
      <c r="HQ78" s="422"/>
      <c r="HR78" s="422"/>
      <c r="HS78" s="422"/>
      <c r="HT78" s="422"/>
      <c r="HU78" s="422"/>
      <c r="HV78" s="422"/>
      <c r="HW78" s="422"/>
      <c r="HX78" s="422"/>
      <c r="HY78" s="422"/>
      <c r="HZ78" s="422"/>
      <c r="IA78" s="422"/>
      <c r="IB78" s="422"/>
      <c r="IC78" s="422"/>
      <c r="ID78" s="422"/>
      <c r="IE78" s="422"/>
      <c r="IF78" s="422"/>
      <c r="IG78" s="422"/>
      <c r="IH78" s="422"/>
      <c r="II78" s="422"/>
      <c r="IJ78" s="422"/>
      <c r="IK78" s="422"/>
      <c r="IL78" s="422"/>
      <c r="IM78" s="15"/>
      <c r="IN78" s="15"/>
      <c r="IO78" s="15"/>
      <c r="IP78" s="15"/>
      <c r="IQ78" s="15"/>
      <c r="IR78" s="15"/>
      <c r="IS78" s="15"/>
      <c r="IT78" s="15"/>
    </row>
    <row r="79" spans="1:254" s="190" customFormat="1" ht="12.95" customHeight="1" x14ac:dyDescent="0.15">
      <c r="A79" s="185" t="s">
        <v>801</v>
      </c>
      <c r="B79" s="186"/>
      <c r="C79" s="410" t="str">
        <f>IF(G74="反応型",IF(50&gt;F76,"+0",IF(60&gt;F76,"+1",IF(70&gt;F76,"+2",IF(F76&gt;=70,"+3")))),"活性補正")</f>
        <v>活性補正</v>
      </c>
      <c r="D79" s="187" t="s">
        <v>802</v>
      </c>
      <c r="E79" s="188"/>
      <c r="F79" s="411" t="str">
        <f>IF(G74="増強型",IF(50&gt;F76,"+0",IF(60&gt;F76,"+1",IF(70&gt;F76,"+2",IF(F76&gt;=70,"+3")))),"活性補正")</f>
        <v>活性補正</v>
      </c>
      <c r="G79" s="412" t="s">
        <v>934</v>
      </c>
      <c r="H79" s="412"/>
      <c r="I79" s="413" t="s">
        <v>935</v>
      </c>
      <c r="J79" s="413"/>
      <c r="K79" s="413"/>
      <c r="L79" s="413"/>
      <c r="M79" s="189" t="s">
        <v>936</v>
      </c>
      <c r="N79" s="190" t="s">
        <v>926</v>
      </c>
      <c r="IL79" s="191"/>
      <c r="IM79" s="15"/>
      <c r="IN79" s="15"/>
      <c r="IO79" s="15"/>
      <c r="IP79" s="15"/>
      <c r="IQ79" s="15"/>
      <c r="IR79" s="15"/>
      <c r="IS79" s="15"/>
      <c r="IT79" s="15"/>
    </row>
    <row r="80" spans="1:254" s="201" customFormat="1" ht="12.95" customHeight="1" x14ac:dyDescent="0.15">
      <c r="A80" s="192" t="s">
        <v>885</v>
      </c>
      <c r="B80" s="193"/>
      <c r="C80" s="410"/>
      <c r="D80" s="194" t="s">
        <v>807</v>
      </c>
      <c r="E80" s="195"/>
      <c r="F80" s="411"/>
      <c r="G80" s="414" t="s">
        <v>937</v>
      </c>
      <c r="H80" s="414"/>
      <c r="I80" s="196" t="s">
        <v>938</v>
      </c>
      <c r="J80" s="197"/>
      <c r="K80" s="197" t="s">
        <v>939</v>
      </c>
      <c r="L80" s="198"/>
      <c r="M80" s="199" t="s">
        <v>936</v>
      </c>
      <c r="N80" s="200" t="s">
        <v>926</v>
      </c>
      <c r="O80" s="200"/>
      <c r="IL80" s="202"/>
      <c r="IM80" s="15"/>
      <c r="IN80" s="15"/>
      <c r="IO80" s="15"/>
      <c r="IP80" s="15"/>
      <c r="IQ80" s="15"/>
      <c r="IR80" s="15"/>
      <c r="IS80" s="15"/>
      <c r="IT80" s="15"/>
    </row>
    <row r="81" spans="1:254" s="208" customFormat="1" ht="12" customHeight="1" x14ac:dyDescent="0.15">
      <c r="A81" s="192" t="s">
        <v>886</v>
      </c>
      <c r="B81" s="193"/>
      <c r="C81" s="410"/>
      <c r="D81" s="194" t="s">
        <v>813</v>
      </c>
      <c r="E81" s="195"/>
      <c r="F81" s="411"/>
      <c r="G81" s="408" t="s">
        <v>940</v>
      </c>
      <c r="H81" s="408"/>
      <c r="I81" s="203"/>
      <c r="J81" s="204"/>
      <c r="K81" s="204"/>
      <c r="L81" s="205"/>
      <c r="M81" s="206" t="s">
        <v>941</v>
      </c>
      <c r="N81" s="207" t="s">
        <v>926</v>
      </c>
      <c r="O81" s="207"/>
      <c r="IL81" s="209"/>
      <c r="IM81" s="15"/>
      <c r="IN81" s="15"/>
      <c r="IO81" s="15"/>
      <c r="IP81" s="15"/>
      <c r="IQ81" s="15"/>
      <c r="IR81" s="15"/>
      <c r="IS81" s="15"/>
      <c r="IT81" s="15"/>
    </row>
    <row r="82" spans="1:254" s="208" customFormat="1" ht="12.95" customHeight="1" x14ac:dyDescent="0.15">
      <c r="A82" s="192" t="s">
        <v>363</v>
      </c>
      <c r="B82" s="210"/>
      <c r="C82" s="407" t="str">
        <f>IF(G74="増強型",IF(50&gt;F76,"+0",IF(60&gt;F76,"+1",IF(70&gt;F76,"+2",IF(F76&gt;=70,"+3")))),"活性補正")</f>
        <v>活性補正</v>
      </c>
      <c r="D82" s="194" t="s">
        <v>942</v>
      </c>
      <c r="E82" s="210"/>
      <c r="F82" s="211"/>
      <c r="G82" s="408" t="s">
        <v>943</v>
      </c>
      <c r="H82" s="408"/>
      <c r="I82" s="212" t="s">
        <v>944</v>
      </c>
      <c r="J82" s="213"/>
      <c r="K82" s="207" t="s">
        <v>945</v>
      </c>
      <c r="L82" s="214"/>
      <c r="M82" s="215" t="s">
        <v>941</v>
      </c>
      <c r="N82" s="207" t="s">
        <v>926</v>
      </c>
      <c r="O82" s="207"/>
      <c r="IL82" s="209"/>
      <c r="IM82" s="15"/>
      <c r="IN82" s="15"/>
      <c r="IO82" s="15"/>
      <c r="IP82" s="15"/>
      <c r="IQ82" s="15"/>
      <c r="IR82" s="15"/>
      <c r="IS82" s="15"/>
      <c r="IT82" s="15"/>
    </row>
    <row r="83" spans="1:254" s="222" customFormat="1" ht="12.95" customHeight="1" x14ac:dyDescent="0.15">
      <c r="A83" s="192" t="s">
        <v>946</v>
      </c>
      <c r="B83" s="210"/>
      <c r="C83" s="407"/>
      <c r="D83" s="194" t="s">
        <v>947</v>
      </c>
      <c r="E83" s="210"/>
      <c r="F83" s="216" t="str">
        <f>IF(G74="覚醒型",IF(50&gt;F76,"+0",IF(60&gt;F76,"+1",IF(70&gt;F76,"+2",IF(F76&gt;=70,"+3")))),"活性補正")</f>
        <v>活性補正</v>
      </c>
      <c r="G83" s="409" t="s">
        <v>948</v>
      </c>
      <c r="H83" s="409"/>
      <c r="I83" s="217" t="s">
        <v>949</v>
      </c>
      <c r="J83" s="218"/>
      <c r="K83" s="218" t="s">
        <v>950</v>
      </c>
      <c r="L83" s="219">
        <f>L82</f>
        <v>0</v>
      </c>
      <c r="M83" s="220" t="s">
        <v>936</v>
      </c>
      <c r="N83" s="221" t="s">
        <v>926</v>
      </c>
      <c r="O83" s="221"/>
      <c r="IL83" s="223"/>
      <c r="IM83" s="15"/>
      <c r="IN83" s="15"/>
      <c r="IO83" s="15"/>
      <c r="IP83" s="15"/>
      <c r="IQ83" s="15"/>
      <c r="IR83" s="15"/>
      <c r="IS83" s="15"/>
      <c r="IT83" s="15"/>
    </row>
    <row r="84" spans="1:254" s="15" customFormat="1" ht="12" customHeight="1" x14ac:dyDescent="0.15">
      <c r="A84" s="224" t="s">
        <v>34</v>
      </c>
      <c r="B84" s="225"/>
      <c r="C84" s="224" t="s">
        <v>136</v>
      </c>
      <c r="D84" s="225"/>
      <c r="E84" s="226" t="s">
        <v>209</v>
      </c>
      <c r="F84" s="225"/>
      <c r="G84" s="226" t="s">
        <v>287</v>
      </c>
      <c r="H84" s="225"/>
      <c r="I84" s="226" t="s">
        <v>348</v>
      </c>
      <c r="J84" s="225"/>
      <c r="K84" s="226" t="s">
        <v>402</v>
      </c>
      <c r="L84" s="227"/>
    </row>
    <row r="85" spans="1:254" s="15" customFormat="1" ht="12" customHeight="1" x14ac:dyDescent="0.15">
      <c r="A85" s="228" t="s">
        <v>92</v>
      </c>
      <c r="B85" s="229"/>
      <c r="C85" s="228" t="s">
        <v>171</v>
      </c>
      <c r="D85" s="229"/>
      <c r="E85" s="230" t="s">
        <v>248</v>
      </c>
      <c r="F85" s="229"/>
      <c r="G85" s="230" t="s">
        <v>320</v>
      </c>
      <c r="H85" s="229"/>
      <c r="I85" s="230" t="s">
        <v>375</v>
      </c>
      <c r="J85" s="229"/>
      <c r="K85" s="230" t="s">
        <v>298</v>
      </c>
      <c r="L85" s="231"/>
    </row>
  </sheetData>
  <sheetProtection selectLockedCells="1" selectUnlockedCells="1"/>
  <mergeCells count="1546">
    <mergeCell ref="Q9:Q15"/>
    <mergeCell ref="R9:R15"/>
    <mergeCell ref="S9:S15"/>
    <mergeCell ref="T9:T15"/>
    <mergeCell ref="U9:U15"/>
    <mergeCell ref="V9:V15"/>
    <mergeCell ref="C7:H7"/>
    <mergeCell ref="C8:H15"/>
    <mergeCell ref="M9:M15"/>
    <mergeCell ref="N9:N15"/>
    <mergeCell ref="O9:O15"/>
    <mergeCell ref="P9:P15"/>
    <mergeCell ref="AI9:AI15"/>
    <mergeCell ref="AJ9:AJ15"/>
    <mergeCell ref="AK9:AK15"/>
    <mergeCell ref="AL9:AL15"/>
    <mergeCell ref="AM9:AM15"/>
    <mergeCell ref="AN9:AN15"/>
    <mergeCell ref="AC9:AC15"/>
    <mergeCell ref="AD9:AD15"/>
    <mergeCell ref="AE9:AE15"/>
    <mergeCell ref="AF9:AF15"/>
    <mergeCell ref="AG9:AG15"/>
    <mergeCell ref="AH9:AH15"/>
    <mergeCell ref="W9:W15"/>
    <mergeCell ref="X9:X15"/>
    <mergeCell ref="Y9:Y15"/>
    <mergeCell ref="Z9:Z15"/>
    <mergeCell ref="AA9:AA15"/>
    <mergeCell ref="AB9:AB15"/>
    <mergeCell ref="BA9:BA15"/>
    <mergeCell ref="BB9:BB15"/>
    <mergeCell ref="BC9:BC15"/>
    <mergeCell ref="BD9:BD15"/>
    <mergeCell ref="BE9:BE15"/>
    <mergeCell ref="BF9:BF15"/>
    <mergeCell ref="AU9:AU15"/>
    <mergeCell ref="AV9:AV15"/>
    <mergeCell ref="AW9:AW15"/>
    <mergeCell ref="AX9:AX15"/>
    <mergeCell ref="AY9:AY15"/>
    <mergeCell ref="AZ9:AZ15"/>
    <mergeCell ref="AO9:AO15"/>
    <mergeCell ref="AP9:AP15"/>
    <mergeCell ref="AQ9:AQ15"/>
    <mergeCell ref="AR9:AR15"/>
    <mergeCell ref="AS9:AS15"/>
    <mergeCell ref="AT9:AT15"/>
    <mergeCell ref="BS9:BS15"/>
    <mergeCell ref="BT9:BT15"/>
    <mergeCell ref="BU9:BU15"/>
    <mergeCell ref="BV9:BV15"/>
    <mergeCell ref="BW9:BW15"/>
    <mergeCell ref="BX9:BX15"/>
    <mergeCell ref="BM9:BM15"/>
    <mergeCell ref="BN9:BN15"/>
    <mergeCell ref="BO9:BO15"/>
    <mergeCell ref="BP9:BP15"/>
    <mergeCell ref="BQ9:BQ15"/>
    <mergeCell ref="BR9:BR15"/>
    <mergeCell ref="BG9:BG15"/>
    <mergeCell ref="BH9:BH15"/>
    <mergeCell ref="BI9:BI15"/>
    <mergeCell ref="BJ9:BJ15"/>
    <mergeCell ref="BK9:BK15"/>
    <mergeCell ref="BL9:BL15"/>
    <mergeCell ref="CK9:CK15"/>
    <mergeCell ref="CL9:CL15"/>
    <mergeCell ref="CM9:CM15"/>
    <mergeCell ref="CN9:CN15"/>
    <mergeCell ref="CO9:CO15"/>
    <mergeCell ref="CP9:CP15"/>
    <mergeCell ref="CE9:CE15"/>
    <mergeCell ref="CF9:CF15"/>
    <mergeCell ref="CG9:CG15"/>
    <mergeCell ref="CH9:CH15"/>
    <mergeCell ref="CI9:CI15"/>
    <mergeCell ref="CJ9:CJ15"/>
    <mergeCell ref="BY9:BY15"/>
    <mergeCell ref="BZ9:BZ15"/>
    <mergeCell ref="CA9:CA15"/>
    <mergeCell ref="CB9:CB15"/>
    <mergeCell ref="CC9:CC15"/>
    <mergeCell ref="CD9:CD15"/>
    <mergeCell ref="DC9:DC15"/>
    <mergeCell ref="DD9:DD15"/>
    <mergeCell ref="DE9:DE15"/>
    <mergeCell ref="DF9:DF15"/>
    <mergeCell ref="DG9:DG15"/>
    <mergeCell ref="DH9:DH15"/>
    <mergeCell ref="CW9:CW15"/>
    <mergeCell ref="CX9:CX15"/>
    <mergeCell ref="CY9:CY15"/>
    <mergeCell ref="CZ9:CZ15"/>
    <mergeCell ref="DA9:DA15"/>
    <mergeCell ref="DB9:DB15"/>
    <mergeCell ref="CQ9:CQ15"/>
    <mergeCell ref="CR9:CR15"/>
    <mergeCell ref="CS9:CS15"/>
    <mergeCell ref="CT9:CT15"/>
    <mergeCell ref="CU9:CU15"/>
    <mergeCell ref="CV9:CV15"/>
    <mergeCell ref="DU9:DU15"/>
    <mergeCell ref="DV9:DV15"/>
    <mergeCell ref="DW9:DW15"/>
    <mergeCell ref="DX9:DX15"/>
    <mergeCell ref="DY9:DY15"/>
    <mergeCell ref="DZ9:DZ15"/>
    <mergeCell ref="DO9:DO15"/>
    <mergeCell ref="DP9:DP15"/>
    <mergeCell ref="DQ9:DQ15"/>
    <mergeCell ref="DR9:DR15"/>
    <mergeCell ref="DS9:DS15"/>
    <mergeCell ref="DT9:DT15"/>
    <mergeCell ref="DI9:DI15"/>
    <mergeCell ref="DJ9:DJ15"/>
    <mergeCell ref="DK9:DK15"/>
    <mergeCell ref="DL9:DL15"/>
    <mergeCell ref="DM9:DM15"/>
    <mergeCell ref="DN9:DN15"/>
    <mergeCell ref="EM9:EM15"/>
    <mergeCell ref="EN9:EN15"/>
    <mergeCell ref="EO9:EO15"/>
    <mergeCell ref="EP9:EP15"/>
    <mergeCell ref="EQ9:EQ15"/>
    <mergeCell ref="ER9:ER15"/>
    <mergeCell ref="EG9:EG15"/>
    <mergeCell ref="EH9:EH15"/>
    <mergeCell ref="EI9:EI15"/>
    <mergeCell ref="EJ9:EJ15"/>
    <mergeCell ref="EK9:EK15"/>
    <mergeCell ref="EL9:EL15"/>
    <mergeCell ref="EA9:EA15"/>
    <mergeCell ref="EB9:EB15"/>
    <mergeCell ref="EC9:EC15"/>
    <mergeCell ref="ED9:ED15"/>
    <mergeCell ref="EE9:EE15"/>
    <mergeCell ref="EF9:EF15"/>
    <mergeCell ref="FE9:FE15"/>
    <mergeCell ref="FF9:FF15"/>
    <mergeCell ref="FG9:FG15"/>
    <mergeCell ref="FH9:FH15"/>
    <mergeCell ref="FI9:FI15"/>
    <mergeCell ref="FJ9:FJ15"/>
    <mergeCell ref="EY9:EY15"/>
    <mergeCell ref="EZ9:EZ15"/>
    <mergeCell ref="FA9:FA15"/>
    <mergeCell ref="FB9:FB15"/>
    <mergeCell ref="FC9:FC15"/>
    <mergeCell ref="FD9:FD15"/>
    <mergeCell ref="ES9:ES15"/>
    <mergeCell ref="ET9:ET15"/>
    <mergeCell ref="EU9:EU15"/>
    <mergeCell ref="EV9:EV15"/>
    <mergeCell ref="EW9:EW15"/>
    <mergeCell ref="EX9:EX15"/>
    <mergeCell ref="FW9:FW15"/>
    <mergeCell ref="FX9:FX15"/>
    <mergeCell ref="FY9:FY15"/>
    <mergeCell ref="FZ9:FZ15"/>
    <mergeCell ref="GA9:GA15"/>
    <mergeCell ref="GB9:GB15"/>
    <mergeCell ref="FQ9:FQ15"/>
    <mergeCell ref="FR9:FR15"/>
    <mergeCell ref="FS9:FS15"/>
    <mergeCell ref="FT9:FT15"/>
    <mergeCell ref="FU9:FU15"/>
    <mergeCell ref="FV9:FV15"/>
    <mergeCell ref="FK9:FK15"/>
    <mergeCell ref="FL9:FL15"/>
    <mergeCell ref="FM9:FM15"/>
    <mergeCell ref="FN9:FN15"/>
    <mergeCell ref="FO9:FO15"/>
    <mergeCell ref="FP9:FP15"/>
    <mergeCell ref="GO9:GO15"/>
    <mergeCell ref="GP9:GP15"/>
    <mergeCell ref="GQ9:GQ15"/>
    <mergeCell ref="GR9:GR15"/>
    <mergeCell ref="GS9:GS15"/>
    <mergeCell ref="GT9:GT15"/>
    <mergeCell ref="GI9:GI15"/>
    <mergeCell ref="GJ9:GJ15"/>
    <mergeCell ref="GK9:GK15"/>
    <mergeCell ref="GL9:GL15"/>
    <mergeCell ref="GM9:GM15"/>
    <mergeCell ref="GN9:GN15"/>
    <mergeCell ref="GC9:GC15"/>
    <mergeCell ref="GD9:GD15"/>
    <mergeCell ref="GE9:GE15"/>
    <mergeCell ref="GF9:GF15"/>
    <mergeCell ref="GG9:GG15"/>
    <mergeCell ref="GH9:GH15"/>
    <mergeCell ref="HQ9:HQ15"/>
    <mergeCell ref="HR9:HR15"/>
    <mergeCell ref="HG9:HG15"/>
    <mergeCell ref="HH9:HH15"/>
    <mergeCell ref="HI9:HI15"/>
    <mergeCell ref="HJ9:HJ15"/>
    <mergeCell ref="HK9:HK15"/>
    <mergeCell ref="HL9:HL15"/>
    <mergeCell ref="HA9:HA15"/>
    <mergeCell ref="HB9:HB15"/>
    <mergeCell ref="HC9:HC15"/>
    <mergeCell ref="HD9:HD15"/>
    <mergeCell ref="HE9:HE15"/>
    <mergeCell ref="HF9:HF15"/>
    <mergeCell ref="GU9:GU15"/>
    <mergeCell ref="GV9:GV15"/>
    <mergeCell ref="GW9:GW15"/>
    <mergeCell ref="GX9:GX15"/>
    <mergeCell ref="GY9:GY15"/>
    <mergeCell ref="GZ9:GZ15"/>
    <mergeCell ref="IK9:IK15"/>
    <mergeCell ref="IL9:IL15"/>
    <mergeCell ref="A17:D17"/>
    <mergeCell ref="E17:F17"/>
    <mergeCell ref="G17:H17"/>
    <mergeCell ref="I17:L17"/>
    <mergeCell ref="M17:M22"/>
    <mergeCell ref="N17:N22"/>
    <mergeCell ref="O17:O22"/>
    <mergeCell ref="P17:P22"/>
    <mergeCell ref="IE9:IE15"/>
    <mergeCell ref="IF9:IF15"/>
    <mergeCell ref="IG9:IG15"/>
    <mergeCell ref="IH9:IH15"/>
    <mergeCell ref="II9:II15"/>
    <mergeCell ref="IJ9:IJ15"/>
    <mergeCell ref="HY9:HY15"/>
    <mergeCell ref="HZ9:HZ15"/>
    <mergeCell ref="IA9:IA15"/>
    <mergeCell ref="IB9:IB15"/>
    <mergeCell ref="IC9:IC15"/>
    <mergeCell ref="ID9:ID15"/>
    <mergeCell ref="HS9:HS15"/>
    <mergeCell ref="HT9:HT15"/>
    <mergeCell ref="HU9:HU15"/>
    <mergeCell ref="HV9:HV15"/>
    <mergeCell ref="HW9:HW15"/>
    <mergeCell ref="HX9:HX15"/>
    <mergeCell ref="HM9:HM15"/>
    <mergeCell ref="HN9:HN15"/>
    <mergeCell ref="HO9:HO15"/>
    <mergeCell ref="HP9:HP15"/>
    <mergeCell ref="AC17:AC22"/>
    <mergeCell ref="AD17:AD22"/>
    <mergeCell ref="AE17:AE22"/>
    <mergeCell ref="AF17:AF22"/>
    <mergeCell ref="AG17:AG22"/>
    <mergeCell ref="AH17:AH22"/>
    <mergeCell ref="W17:W22"/>
    <mergeCell ref="X17:X22"/>
    <mergeCell ref="Y17:Y22"/>
    <mergeCell ref="Z17:Z22"/>
    <mergeCell ref="AA17:AA22"/>
    <mergeCell ref="AB17:AB22"/>
    <mergeCell ref="Q17:Q22"/>
    <mergeCell ref="R17:R22"/>
    <mergeCell ref="S17:S22"/>
    <mergeCell ref="T17:T22"/>
    <mergeCell ref="U17:U22"/>
    <mergeCell ref="V17:V22"/>
    <mergeCell ref="AU17:AU22"/>
    <mergeCell ref="AV17:AV22"/>
    <mergeCell ref="AW17:AW22"/>
    <mergeCell ref="AX17:AX22"/>
    <mergeCell ref="AY17:AY22"/>
    <mergeCell ref="AZ17:AZ22"/>
    <mergeCell ref="AO17:AO22"/>
    <mergeCell ref="AP17:AP22"/>
    <mergeCell ref="AQ17:AQ22"/>
    <mergeCell ref="AR17:AR22"/>
    <mergeCell ref="AS17:AS22"/>
    <mergeCell ref="AT17:AT22"/>
    <mergeCell ref="AI17:AI22"/>
    <mergeCell ref="AJ17:AJ22"/>
    <mergeCell ref="AK17:AK22"/>
    <mergeCell ref="AL17:AL22"/>
    <mergeCell ref="AM17:AM22"/>
    <mergeCell ref="AN17:AN22"/>
    <mergeCell ref="BM17:BM22"/>
    <mergeCell ref="BN17:BN22"/>
    <mergeCell ref="BO17:BO22"/>
    <mergeCell ref="BP17:BP22"/>
    <mergeCell ref="BQ17:BQ22"/>
    <mergeCell ref="BR17:BR22"/>
    <mergeCell ref="BG17:BG22"/>
    <mergeCell ref="BH17:BH22"/>
    <mergeCell ref="BI17:BI22"/>
    <mergeCell ref="BJ17:BJ22"/>
    <mergeCell ref="BK17:BK22"/>
    <mergeCell ref="BL17:BL22"/>
    <mergeCell ref="BA17:BA22"/>
    <mergeCell ref="BB17:BB22"/>
    <mergeCell ref="BC17:BC22"/>
    <mergeCell ref="BD17:BD22"/>
    <mergeCell ref="BE17:BE22"/>
    <mergeCell ref="BF17:BF22"/>
    <mergeCell ref="CE17:CE22"/>
    <mergeCell ref="CF17:CF22"/>
    <mergeCell ref="CG17:CG22"/>
    <mergeCell ref="CH17:CH22"/>
    <mergeCell ref="CI17:CI22"/>
    <mergeCell ref="CJ17:CJ22"/>
    <mergeCell ref="BY17:BY22"/>
    <mergeCell ref="BZ17:BZ22"/>
    <mergeCell ref="CA17:CA22"/>
    <mergeCell ref="CB17:CB22"/>
    <mergeCell ref="CC17:CC22"/>
    <mergeCell ref="CD17:CD22"/>
    <mergeCell ref="BS17:BS22"/>
    <mergeCell ref="BT17:BT22"/>
    <mergeCell ref="BU17:BU22"/>
    <mergeCell ref="BV17:BV22"/>
    <mergeCell ref="BW17:BW22"/>
    <mergeCell ref="BX17:BX22"/>
    <mergeCell ref="CW17:CW22"/>
    <mergeCell ref="CX17:CX22"/>
    <mergeCell ref="CY17:CY22"/>
    <mergeCell ref="CZ17:CZ22"/>
    <mergeCell ref="DA17:DA22"/>
    <mergeCell ref="DB17:DB22"/>
    <mergeCell ref="CQ17:CQ22"/>
    <mergeCell ref="CR17:CR22"/>
    <mergeCell ref="CS17:CS22"/>
    <mergeCell ref="CT17:CT22"/>
    <mergeCell ref="CU17:CU22"/>
    <mergeCell ref="CV17:CV22"/>
    <mergeCell ref="CK17:CK22"/>
    <mergeCell ref="CL17:CL22"/>
    <mergeCell ref="CM17:CM22"/>
    <mergeCell ref="CN17:CN22"/>
    <mergeCell ref="CO17:CO22"/>
    <mergeCell ref="CP17:CP22"/>
    <mergeCell ref="DO17:DO22"/>
    <mergeCell ref="DP17:DP22"/>
    <mergeCell ref="DQ17:DQ22"/>
    <mergeCell ref="DR17:DR22"/>
    <mergeCell ref="DS17:DS22"/>
    <mergeCell ref="DT17:DT22"/>
    <mergeCell ref="DI17:DI22"/>
    <mergeCell ref="DJ17:DJ22"/>
    <mergeCell ref="DK17:DK22"/>
    <mergeCell ref="DL17:DL22"/>
    <mergeCell ref="DM17:DM22"/>
    <mergeCell ref="DN17:DN22"/>
    <mergeCell ref="DC17:DC22"/>
    <mergeCell ref="DD17:DD22"/>
    <mergeCell ref="DE17:DE22"/>
    <mergeCell ref="DF17:DF22"/>
    <mergeCell ref="DG17:DG22"/>
    <mergeCell ref="DH17:DH22"/>
    <mergeCell ref="EG17:EG22"/>
    <mergeCell ref="EH17:EH22"/>
    <mergeCell ref="EI17:EI22"/>
    <mergeCell ref="EJ17:EJ22"/>
    <mergeCell ref="EK17:EK22"/>
    <mergeCell ref="EL17:EL22"/>
    <mergeCell ref="EA17:EA22"/>
    <mergeCell ref="EB17:EB22"/>
    <mergeCell ref="EC17:EC22"/>
    <mergeCell ref="ED17:ED22"/>
    <mergeCell ref="EE17:EE22"/>
    <mergeCell ref="EF17:EF22"/>
    <mergeCell ref="DU17:DU22"/>
    <mergeCell ref="DV17:DV22"/>
    <mergeCell ref="DW17:DW22"/>
    <mergeCell ref="DX17:DX22"/>
    <mergeCell ref="DY17:DY22"/>
    <mergeCell ref="DZ17:DZ22"/>
    <mergeCell ref="EY17:EY22"/>
    <mergeCell ref="EZ17:EZ22"/>
    <mergeCell ref="FA17:FA22"/>
    <mergeCell ref="FB17:FB22"/>
    <mergeCell ref="FC17:FC22"/>
    <mergeCell ref="FD17:FD22"/>
    <mergeCell ref="ES17:ES22"/>
    <mergeCell ref="ET17:ET22"/>
    <mergeCell ref="EU17:EU22"/>
    <mergeCell ref="EV17:EV22"/>
    <mergeCell ref="EW17:EW22"/>
    <mergeCell ref="EX17:EX22"/>
    <mergeCell ref="EM17:EM22"/>
    <mergeCell ref="EN17:EN22"/>
    <mergeCell ref="EO17:EO22"/>
    <mergeCell ref="EP17:EP22"/>
    <mergeCell ref="EQ17:EQ22"/>
    <mergeCell ref="ER17:ER22"/>
    <mergeCell ref="FQ17:FQ22"/>
    <mergeCell ref="FR17:FR22"/>
    <mergeCell ref="FS17:FS22"/>
    <mergeCell ref="FT17:FT22"/>
    <mergeCell ref="FU17:FU22"/>
    <mergeCell ref="FV17:FV22"/>
    <mergeCell ref="FK17:FK22"/>
    <mergeCell ref="FL17:FL22"/>
    <mergeCell ref="FM17:FM22"/>
    <mergeCell ref="FN17:FN22"/>
    <mergeCell ref="FO17:FO22"/>
    <mergeCell ref="FP17:FP22"/>
    <mergeCell ref="FE17:FE22"/>
    <mergeCell ref="FF17:FF22"/>
    <mergeCell ref="FG17:FG22"/>
    <mergeCell ref="FH17:FH22"/>
    <mergeCell ref="FI17:FI22"/>
    <mergeCell ref="FJ17:FJ22"/>
    <mergeCell ref="GI17:GI22"/>
    <mergeCell ref="GJ17:GJ22"/>
    <mergeCell ref="GK17:GK22"/>
    <mergeCell ref="GL17:GL22"/>
    <mergeCell ref="GM17:GM22"/>
    <mergeCell ref="GN17:GN22"/>
    <mergeCell ref="GC17:GC22"/>
    <mergeCell ref="GD17:GD22"/>
    <mergeCell ref="GE17:GE22"/>
    <mergeCell ref="GF17:GF22"/>
    <mergeCell ref="GG17:GG22"/>
    <mergeCell ref="GH17:GH22"/>
    <mergeCell ref="FW17:FW22"/>
    <mergeCell ref="FX17:FX22"/>
    <mergeCell ref="FY17:FY22"/>
    <mergeCell ref="FZ17:FZ22"/>
    <mergeCell ref="GA17:GA22"/>
    <mergeCell ref="GB17:GB22"/>
    <mergeCell ref="HA17:HA22"/>
    <mergeCell ref="HB17:HB22"/>
    <mergeCell ref="HC17:HC22"/>
    <mergeCell ref="HD17:HD22"/>
    <mergeCell ref="HE17:HE22"/>
    <mergeCell ref="HF17:HF22"/>
    <mergeCell ref="GU17:GU22"/>
    <mergeCell ref="GV17:GV22"/>
    <mergeCell ref="GW17:GW22"/>
    <mergeCell ref="GX17:GX22"/>
    <mergeCell ref="GY17:GY22"/>
    <mergeCell ref="GZ17:GZ22"/>
    <mergeCell ref="GO17:GO22"/>
    <mergeCell ref="GP17:GP22"/>
    <mergeCell ref="GQ17:GQ22"/>
    <mergeCell ref="GR17:GR22"/>
    <mergeCell ref="GS17:GS22"/>
    <mergeCell ref="GT17:GT22"/>
    <mergeCell ref="IB17:IB22"/>
    <mergeCell ref="IC17:IC22"/>
    <mergeCell ref="ID17:ID22"/>
    <mergeCell ref="HS17:HS22"/>
    <mergeCell ref="HT17:HT22"/>
    <mergeCell ref="HU17:HU22"/>
    <mergeCell ref="HV17:HV22"/>
    <mergeCell ref="HW17:HW22"/>
    <mergeCell ref="HX17:HX22"/>
    <mergeCell ref="HM17:HM22"/>
    <mergeCell ref="HN17:HN22"/>
    <mergeCell ref="HO17:HO22"/>
    <mergeCell ref="HP17:HP22"/>
    <mergeCell ref="HQ17:HQ22"/>
    <mergeCell ref="HR17:HR22"/>
    <mergeCell ref="HG17:HG22"/>
    <mergeCell ref="HH17:HH22"/>
    <mergeCell ref="HI17:HI22"/>
    <mergeCell ref="HJ17:HJ22"/>
    <mergeCell ref="HK17:HK22"/>
    <mergeCell ref="HL17:HL22"/>
    <mergeCell ref="C23:C25"/>
    <mergeCell ref="F23:F25"/>
    <mergeCell ref="G23:H23"/>
    <mergeCell ref="I23:L23"/>
    <mergeCell ref="G24:H24"/>
    <mergeCell ref="G25:H25"/>
    <mergeCell ref="G20:H20"/>
    <mergeCell ref="A21:A22"/>
    <mergeCell ref="B21:B22"/>
    <mergeCell ref="E21:F21"/>
    <mergeCell ref="G21:H21"/>
    <mergeCell ref="E22:F22"/>
    <mergeCell ref="G22:H22"/>
    <mergeCell ref="IK17:IK22"/>
    <mergeCell ref="IL17:IL22"/>
    <mergeCell ref="A18:D18"/>
    <mergeCell ref="E18:F18"/>
    <mergeCell ref="G18:H18"/>
    <mergeCell ref="I18:L22"/>
    <mergeCell ref="A19:B19"/>
    <mergeCell ref="C19:D19"/>
    <mergeCell ref="E19:F19"/>
    <mergeCell ref="G19:H19"/>
    <mergeCell ref="IE17:IE22"/>
    <mergeCell ref="IF17:IF22"/>
    <mergeCell ref="IG17:IG22"/>
    <mergeCell ref="IH17:IH22"/>
    <mergeCell ref="II17:II22"/>
    <mergeCell ref="IJ17:IJ22"/>
    <mergeCell ref="HY17:HY22"/>
    <mergeCell ref="HZ17:HZ22"/>
    <mergeCell ref="IA17:IA22"/>
    <mergeCell ref="R31:R36"/>
    <mergeCell ref="S31:S36"/>
    <mergeCell ref="T31:T36"/>
    <mergeCell ref="U31:U36"/>
    <mergeCell ref="V31:V36"/>
    <mergeCell ref="W31:W36"/>
    <mergeCell ref="I31:L31"/>
    <mergeCell ref="M31:M36"/>
    <mergeCell ref="N31:N36"/>
    <mergeCell ref="O31:O36"/>
    <mergeCell ref="P31:P36"/>
    <mergeCell ref="Q31:Q36"/>
    <mergeCell ref="C26:C27"/>
    <mergeCell ref="G26:H26"/>
    <mergeCell ref="G27:H27"/>
    <mergeCell ref="A31:D31"/>
    <mergeCell ref="E31:F31"/>
    <mergeCell ref="G31:H31"/>
    <mergeCell ref="AJ31:AJ36"/>
    <mergeCell ref="AK31:AK36"/>
    <mergeCell ref="AL31:AL36"/>
    <mergeCell ref="AM31:AM36"/>
    <mergeCell ref="AN31:AN36"/>
    <mergeCell ref="AO31:AO36"/>
    <mergeCell ref="AD31:AD36"/>
    <mergeCell ref="AE31:AE36"/>
    <mergeCell ref="AF31:AF36"/>
    <mergeCell ref="AG31:AG36"/>
    <mergeCell ref="AH31:AH36"/>
    <mergeCell ref="AI31:AI36"/>
    <mergeCell ref="X31:X36"/>
    <mergeCell ref="Y31:Y36"/>
    <mergeCell ref="Z31:Z36"/>
    <mergeCell ref="AA31:AA36"/>
    <mergeCell ref="AB31:AB36"/>
    <mergeCell ref="AC31:AC36"/>
    <mergeCell ref="BB31:BB36"/>
    <mergeCell ref="BC31:BC36"/>
    <mergeCell ref="BD31:BD36"/>
    <mergeCell ref="BE31:BE36"/>
    <mergeCell ref="BF31:BF36"/>
    <mergeCell ref="BG31:BG36"/>
    <mergeCell ref="AV31:AV36"/>
    <mergeCell ref="AW31:AW36"/>
    <mergeCell ref="AX31:AX36"/>
    <mergeCell ref="AY31:AY36"/>
    <mergeCell ref="AZ31:AZ36"/>
    <mergeCell ref="BA31:BA36"/>
    <mergeCell ref="AP31:AP36"/>
    <mergeCell ref="AQ31:AQ36"/>
    <mergeCell ref="AR31:AR36"/>
    <mergeCell ref="AS31:AS36"/>
    <mergeCell ref="AT31:AT36"/>
    <mergeCell ref="AU31:AU36"/>
    <mergeCell ref="BT31:BT36"/>
    <mergeCell ref="BU31:BU36"/>
    <mergeCell ref="BV31:BV36"/>
    <mergeCell ref="BW31:BW36"/>
    <mergeCell ref="BX31:BX36"/>
    <mergeCell ref="BY31:BY36"/>
    <mergeCell ref="BN31:BN36"/>
    <mergeCell ref="BO31:BO36"/>
    <mergeCell ref="BP31:BP36"/>
    <mergeCell ref="BQ31:BQ36"/>
    <mergeCell ref="BR31:BR36"/>
    <mergeCell ref="BS31:BS36"/>
    <mergeCell ref="BH31:BH36"/>
    <mergeCell ref="BI31:BI36"/>
    <mergeCell ref="BJ31:BJ36"/>
    <mergeCell ref="BK31:BK36"/>
    <mergeCell ref="BL31:BL36"/>
    <mergeCell ref="BM31:BM36"/>
    <mergeCell ref="CL31:CL36"/>
    <mergeCell ref="CM31:CM36"/>
    <mergeCell ref="CN31:CN36"/>
    <mergeCell ref="CO31:CO36"/>
    <mergeCell ref="CP31:CP36"/>
    <mergeCell ref="CQ31:CQ36"/>
    <mergeCell ref="CF31:CF36"/>
    <mergeCell ref="CG31:CG36"/>
    <mergeCell ref="CH31:CH36"/>
    <mergeCell ref="CI31:CI36"/>
    <mergeCell ref="CJ31:CJ36"/>
    <mergeCell ref="CK31:CK36"/>
    <mergeCell ref="BZ31:BZ36"/>
    <mergeCell ref="CA31:CA36"/>
    <mergeCell ref="CB31:CB36"/>
    <mergeCell ref="CC31:CC36"/>
    <mergeCell ref="CD31:CD36"/>
    <mergeCell ref="CE31:CE36"/>
    <mergeCell ref="DD31:DD36"/>
    <mergeCell ref="DE31:DE36"/>
    <mergeCell ref="DF31:DF36"/>
    <mergeCell ref="DG31:DG36"/>
    <mergeCell ref="DH31:DH36"/>
    <mergeCell ref="DI31:DI36"/>
    <mergeCell ref="CX31:CX36"/>
    <mergeCell ref="CY31:CY36"/>
    <mergeCell ref="CZ31:CZ36"/>
    <mergeCell ref="DA31:DA36"/>
    <mergeCell ref="DB31:DB36"/>
    <mergeCell ref="DC31:DC36"/>
    <mergeCell ref="CR31:CR36"/>
    <mergeCell ref="CS31:CS36"/>
    <mergeCell ref="CT31:CT36"/>
    <mergeCell ref="CU31:CU36"/>
    <mergeCell ref="CV31:CV36"/>
    <mergeCell ref="CW31:CW36"/>
    <mergeCell ref="DV31:DV36"/>
    <mergeCell ref="DW31:DW36"/>
    <mergeCell ref="DX31:DX36"/>
    <mergeCell ref="DY31:DY36"/>
    <mergeCell ref="DZ31:DZ36"/>
    <mergeCell ref="EA31:EA36"/>
    <mergeCell ref="DP31:DP36"/>
    <mergeCell ref="DQ31:DQ36"/>
    <mergeCell ref="DR31:DR36"/>
    <mergeCell ref="DS31:DS36"/>
    <mergeCell ref="DT31:DT36"/>
    <mergeCell ref="DU31:DU36"/>
    <mergeCell ref="DJ31:DJ36"/>
    <mergeCell ref="DK31:DK36"/>
    <mergeCell ref="DL31:DL36"/>
    <mergeCell ref="DM31:DM36"/>
    <mergeCell ref="DN31:DN36"/>
    <mergeCell ref="DO31:DO36"/>
    <mergeCell ref="EN31:EN36"/>
    <mergeCell ref="EO31:EO36"/>
    <mergeCell ref="EP31:EP36"/>
    <mergeCell ref="EQ31:EQ36"/>
    <mergeCell ref="ER31:ER36"/>
    <mergeCell ref="ES31:ES36"/>
    <mergeCell ref="EH31:EH36"/>
    <mergeCell ref="EI31:EI36"/>
    <mergeCell ref="EJ31:EJ36"/>
    <mergeCell ref="EK31:EK36"/>
    <mergeCell ref="EL31:EL36"/>
    <mergeCell ref="EM31:EM36"/>
    <mergeCell ref="EB31:EB36"/>
    <mergeCell ref="EC31:EC36"/>
    <mergeCell ref="ED31:ED36"/>
    <mergeCell ref="EE31:EE36"/>
    <mergeCell ref="EF31:EF36"/>
    <mergeCell ref="EG31:EG36"/>
    <mergeCell ref="FF31:FF36"/>
    <mergeCell ref="FG31:FG36"/>
    <mergeCell ref="FH31:FH36"/>
    <mergeCell ref="FI31:FI36"/>
    <mergeCell ref="FJ31:FJ36"/>
    <mergeCell ref="FK31:FK36"/>
    <mergeCell ref="EZ31:EZ36"/>
    <mergeCell ref="FA31:FA36"/>
    <mergeCell ref="FB31:FB36"/>
    <mergeCell ref="FC31:FC36"/>
    <mergeCell ref="FD31:FD36"/>
    <mergeCell ref="FE31:FE36"/>
    <mergeCell ref="ET31:ET36"/>
    <mergeCell ref="EU31:EU36"/>
    <mergeCell ref="EV31:EV36"/>
    <mergeCell ref="EW31:EW36"/>
    <mergeCell ref="EX31:EX36"/>
    <mergeCell ref="EY31:EY36"/>
    <mergeCell ref="FX31:FX36"/>
    <mergeCell ref="FY31:FY36"/>
    <mergeCell ref="FZ31:FZ36"/>
    <mergeCell ref="GA31:GA36"/>
    <mergeCell ref="GB31:GB36"/>
    <mergeCell ref="GC31:GC36"/>
    <mergeCell ref="FR31:FR36"/>
    <mergeCell ref="FS31:FS36"/>
    <mergeCell ref="FT31:FT36"/>
    <mergeCell ref="FU31:FU36"/>
    <mergeCell ref="FV31:FV36"/>
    <mergeCell ref="FW31:FW36"/>
    <mergeCell ref="FL31:FL36"/>
    <mergeCell ref="FM31:FM36"/>
    <mergeCell ref="FN31:FN36"/>
    <mergeCell ref="FO31:FO36"/>
    <mergeCell ref="FP31:FP36"/>
    <mergeCell ref="FQ31:FQ36"/>
    <mergeCell ref="GP31:GP36"/>
    <mergeCell ref="GQ31:GQ36"/>
    <mergeCell ref="GR31:GR36"/>
    <mergeCell ref="GS31:GS36"/>
    <mergeCell ref="GT31:GT36"/>
    <mergeCell ref="GU31:GU36"/>
    <mergeCell ref="GJ31:GJ36"/>
    <mergeCell ref="GK31:GK36"/>
    <mergeCell ref="GL31:GL36"/>
    <mergeCell ref="GM31:GM36"/>
    <mergeCell ref="GN31:GN36"/>
    <mergeCell ref="GO31:GO36"/>
    <mergeCell ref="GD31:GD36"/>
    <mergeCell ref="GE31:GE36"/>
    <mergeCell ref="GF31:GF36"/>
    <mergeCell ref="GG31:GG36"/>
    <mergeCell ref="GH31:GH36"/>
    <mergeCell ref="GI31:GI36"/>
    <mergeCell ref="HR31:HR36"/>
    <mergeCell ref="HS31:HS36"/>
    <mergeCell ref="HH31:HH36"/>
    <mergeCell ref="HI31:HI36"/>
    <mergeCell ref="HJ31:HJ36"/>
    <mergeCell ref="HK31:HK36"/>
    <mergeCell ref="HL31:HL36"/>
    <mergeCell ref="HM31:HM36"/>
    <mergeCell ref="HB31:HB36"/>
    <mergeCell ref="HC31:HC36"/>
    <mergeCell ref="HD31:HD36"/>
    <mergeCell ref="HE31:HE36"/>
    <mergeCell ref="HF31:HF36"/>
    <mergeCell ref="HG31:HG36"/>
    <mergeCell ref="GV31:GV36"/>
    <mergeCell ref="GW31:GW36"/>
    <mergeCell ref="GX31:GX36"/>
    <mergeCell ref="GY31:GY36"/>
    <mergeCell ref="GZ31:GZ36"/>
    <mergeCell ref="HA31:HA36"/>
    <mergeCell ref="IL31:IL36"/>
    <mergeCell ref="A32:D32"/>
    <mergeCell ref="E32:F32"/>
    <mergeCell ref="G32:H32"/>
    <mergeCell ref="I32:L36"/>
    <mergeCell ref="A33:B33"/>
    <mergeCell ref="C33:D33"/>
    <mergeCell ref="E33:F33"/>
    <mergeCell ref="G33:H33"/>
    <mergeCell ref="G34:H34"/>
    <mergeCell ref="IF31:IF36"/>
    <mergeCell ref="IG31:IG36"/>
    <mergeCell ref="IH31:IH36"/>
    <mergeCell ref="II31:II36"/>
    <mergeCell ref="IJ31:IJ36"/>
    <mergeCell ref="IK31:IK36"/>
    <mergeCell ref="HZ31:HZ36"/>
    <mergeCell ref="IA31:IA36"/>
    <mergeCell ref="IB31:IB36"/>
    <mergeCell ref="IC31:IC36"/>
    <mergeCell ref="ID31:ID36"/>
    <mergeCell ref="IE31:IE36"/>
    <mergeCell ref="HT31:HT36"/>
    <mergeCell ref="HU31:HU36"/>
    <mergeCell ref="HV31:HV36"/>
    <mergeCell ref="HW31:HW36"/>
    <mergeCell ref="HX31:HX36"/>
    <mergeCell ref="HY31:HY36"/>
    <mergeCell ref="HN31:HN36"/>
    <mergeCell ref="HO31:HO36"/>
    <mergeCell ref="HP31:HP36"/>
    <mergeCell ref="HQ31:HQ36"/>
    <mergeCell ref="C40:C41"/>
    <mergeCell ref="G40:H40"/>
    <mergeCell ref="G41:H41"/>
    <mergeCell ref="A45:D45"/>
    <mergeCell ref="E45:F45"/>
    <mergeCell ref="G45:H45"/>
    <mergeCell ref="C37:C39"/>
    <mergeCell ref="F37:F39"/>
    <mergeCell ref="G37:H37"/>
    <mergeCell ref="I37:L37"/>
    <mergeCell ref="G38:H38"/>
    <mergeCell ref="G39:H39"/>
    <mergeCell ref="A35:A36"/>
    <mergeCell ref="B35:B36"/>
    <mergeCell ref="E35:F35"/>
    <mergeCell ref="G35:H35"/>
    <mergeCell ref="E36:F36"/>
    <mergeCell ref="G36:H36"/>
    <mergeCell ref="X45:X50"/>
    <mergeCell ref="Y45:Y50"/>
    <mergeCell ref="Z45:Z50"/>
    <mergeCell ref="AA45:AA50"/>
    <mergeCell ref="AB45:AB50"/>
    <mergeCell ref="AC45:AC50"/>
    <mergeCell ref="R45:R50"/>
    <mergeCell ref="S45:S50"/>
    <mergeCell ref="T45:T50"/>
    <mergeCell ref="U45:U50"/>
    <mergeCell ref="V45:V50"/>
    <mergeCell ref="W45:W50"/>
    <mergeCell ref="I45:L45"/>
    <mergeCell ref="M45:M50"/>
    <mergeCell ref="N45:N50"/>
    <mergeCell ref="O45:O50"/>
    <mergeCell ref="P45:P50"/>
    <mergeCell ref="Q45:Q50"/>
    <mergeCell ref="AP45:AP50"/>
    <mergeCell ref="AQ45:AQ50"/>
    <mergeCell ref="AR45:AR50"/>
    <mergeCell ref="AS45:AS50"/>
    <mergeCell ref="AT45:AT50"/>
    <mergeCell ref="AU45:AU50"/>
    <mergeCell ref="AJ45:AJ50"/>
    <mergeCell ref="AK45:AK50"/>
    <mergeCell ref="AL45:AL50"/>
    <mergeCell ref="AM45:AM50"/>
    <mergeCell ref="AN45:AN50"/>
    <mergeCell ref="AO45:AO50"/>
    <mergeCell ref="AD45:AD50"/>
    <mergeCell ref="AE45:AE50"/>
    <mergeCell ref="AF45:AF50"/>
    <mergeCell ref="AG45:AG50"/>
    <mergeCell ref="AH45:AH50"/>
    <mergeCell ref="AI45:AI50"/>
    <mergeCell ref="BH45:BH50"/>
    <mergeCell ref="BI45:BI50"/>
    <mergeCell ref="BJ45:BJ50"/>
    <mergeCell ref="BK45:BK50"/>
    <mergeCell ref="BL45:BL50"/>
    <mergeCell ref="BM45:BM50"/>
    <mergeCell ref="BB45:BB50"/>
    <mergeCell ref="BC45:BC50"/>
    <mergeCell ref="BD45:BD50"/>
    <mergeCell ref="BE45:BE50"/>
    <mergeCell ref="BF45:BF50"/>
    <mergeCell ref="BG45:BG50"/>
    <mergeCell ref="AV45:AV50"/>
    <mergeCell ref="AW45:AW50"/>
    <mergeCell ref="AX45:AX50"/>
    <mergeCell ref="AY45:AY50"/>
    <mergeCell ref="AZ45:AZ50"/>
    <mergeCell ref="BA45:BA50"/>
    <mergeCell ref="BZ45:BZ50"/>
    <mergeCell ref="CA45:CA50"/>
    <mergeCell ref="CB45:CB50"/>
    <mergeCell ref="CC45:CC50"/>
    <mergeCell ref="CD45:CD50"/>
    <mergeCell ref="CE45:CE50"/>
    <mergeCell ref="BT45:BT50"/>
    <mergeCell ref="BU45:BU50"/>
    <mergeCell ref="BV45:BV50"/>
    <mergeCell ref="BW45:BW50"/>
    <mergeCell ref="BX45:BX50"/>
    <mergeCell ref="BY45:BY50"/>
    <mergeCell ref="BN45:BN50"/>
    <mergeCell ref="BO45:BO50"/>
    <mergeCell ref="BP45:BP50"/>
    <mergeCell ref="BQ45:BQ50"/>
    <mergeCell ref="BR45:BR50"/>
    <mergeCell ref="BS45:BS50"/>
    <mergeCell ref="CR45:CR50"/>
    <mergeCell ref="CS45:CS50"/>
    <mergeCell ref="CT45:CT50"/>
    <mergeCell ref="CU45:CU50"/>
    <mergeCell ref="CV45:CV50"/>
    <mergeCell ref="CW45:CW50"/>
    <mergeCell ref="CL45:CL50"/>
    <mergeCell ref="CM45:CM50"/>
    <mergeCell ref="CN45:CN50"/>
    <mergeCell ref="CO45:CO50"/>
    <mergeCell ref="CP45:CP50"/>
    <mergeCell ref="CQ45:CQ50"/>
    <mergeCell ref="CF45:CF50"/>
    <mergeCell ref="CG45:CG50"/>
    <mergeCell ref="CH45:CH50"/>
    <mergeCell ref="CI45:CI50"/>
    <mergeCell ref="CJ45:CJ50"/>
    <mergeCell ref="CK45:CK50"/>
    <mergeCell ref="DJ45:DJ50"/>
    <mergeCell ref="DK45:DK50"/>
    <mergeCell ref="DL45:DL50"/>
    <mergeCell ref="DM45:DM50"/>
    <mergeCell ref="DN45:DN50"/>
    <mergeCell ref="DO45:DO50"/>
    <mergeCell ref="DD45:DD50"/>
    <mergeCell ref="DE45:DE50"/>
    <mergeCell ref="DF45:DF50"/>
    <mergeCell ref="DG45:DG50"/>
    <mergeCell ref="DH45:DH50"/>
    <mergeCell ref="DI45:DI50"/>
    <mergeCell ref="CX45:CX50"/>
    <mergeCell ref="CY45:CY50"/>
    <mergeCell ref="CZ45:CZ50"/>
    <mergeCell ref="DA45:DA50"/>
    <mergeCell ref="DB45:DB50"/>
    <mergeCell ref="DC45:DC50"/>
    <mergeCell ref="EB45:EB50"/>
    <mergeCell ref="EC45:EC50"/>
    <mergeCell ref="ED45:ED50"/>
    <mergeCell ref="EE45:EE50"/>
    <mergeCell ref="EF45:EF50"/>
    <mergeCell ref="EG45:EG50"/>
    <mergeCell ref="DV45:DV50"/>
    <mergeCell ref="DW45:DW50"/>
    <mergeCell ref="DX45:DX50"/>
    <mergeCell ref="DY45:DY50"/>
    <mergeCell ref="DZ45:DZ50"/>
    <mergeCell ref="EA45:EA50"/>
    <mergeCell ref="DP45:DP50"/>
    <mergeCell ref="DQ45:DQ50"/>
    <mergeCell ref="DR45:DR50"/>
    <mergeCell ref="DS45:DS50"/>
    <mergeCell ref="DT45:DT50"/>
    <mergeCell ref="DU45:DU50"/>
    <mergeCell ref="ET45:ET50"/>
    <mergeCell ref="EU45:EU50"/>
    <mergeCell ref="EV45:EV50"/>
    <mergeCell ref="EW45:EW50"/>
    <mergeCell ref="EX45:EX50"/>
    <mergeCell ref="EY45:EY50"/>
    <mergeCell ref="EN45:EN50"/>
    <mergeCell ref="EO45:EO50"/>
    <mergeCell ref="EP45:EP50"/>
    <mergeCell ref="EQ45:EQ50"/>
    <mergeCell ref="ER45:ER50"/>
    <mergeCell ref="ES45:ES50"/>
    <mergeCell ref="EH45:EH50"/>
    <mergeCell ref="EI45:EI50"/>
    <mergeCell ref="EJ45:EJ50"/>
    <mergeCell ref="EK45:EK50"/>
    <mergeCell ref="EL45:EL50"/>
    <mergeCell ref="EM45:EM50"/>
    <mergeCell ref="FL45:FL50"/>
    <mergeCell ref="FM45:FM50"/>
    <mergeCell ref="FN45:FN50"/>
    <mergeCell ref="FO45:FO50"/>
    <mergeCell ref="FP45:FP50"/>
    <mergeCell ref="FQ45:FQ50"/>
    <mergeCell ref="FF45:FF50"/>
    <mergeCell ref="FG45:FG50"/>
    <mergeCell ref="FH45:FH50"/>
    <mergeCell ref="FI45:FI50"/>
    <mergeCell ref="FJ45:FJ50"/>
    <mergeCell ref="FK45:FK50"/>
    <mergeCell ref="EZ45:EZ50"/>
    <mergeCell ref="FA45:FA50"/>
    <mergeCell ref="FB45:FB50"/>
    <mergeCell ref="FC45:FC50"/>
    <mergeCell ref="FD45:FD50"/>
    <mergeCell ref="FE45:FE50"/>
    <mergeCell ref="GD45:GD50"/>
    <mergeCell ref="GE45:GE50"/>
    <mergeCell ref="GF45:GF50"/>
    <mergeCell ref="GG45:GG50"/>
    <mergeCell ref="GH45:GH50"/>
    <mergeCell ref="GI45:GI50"/>
    <mergeCell ref="FX45:FX50"/>
    <mergeCell ref="FY45:FY50"/>
    <mergeCell ref="FZ45:FZ50"/>
    <mergeCell ref="GA45:GA50"/>
    <mergeCell ref="GB45:GB50"/>
    <mergeCell ref="GC45:GC50"/>
    <mergeCell ref="FR45:FR50"/>
    <mergeCell ref="FS45:FS50"/>
    <mergeCell ref="FT45:FT50"/>
    <mergeCell ref="FU45:FU50"/>
    <mergeCell ref="FV45:FV50"/>
    <mergeCell ref="FW45:FW50"/>
    <mergeCell ref="GV45:GV50"/>
    <mergeCell ref="GW45:GW50"/>
    <mergeCell ref="GX45:GX50"/>
    <mergeCell ref="GY45:GY50"/>
    <mergeCell ref="GZ45:GZ50"/>
    <mergeCell ref="HA45:HA50"/>
    <mergeCell ref="GP45:GP50"/>
    <mergeCell ref="GQ45:GQ50"/>
    <mergeCell ref="GR45:GR50"/>
    <mergeCell ref="GS45:GS50"/>
    <mergeCell ref="GT45:GT50"/>
    <mergeCell ref="GU45:GU50"/>
    <mergeCell ref="GJ45:GJ50"/>
    <mergeCell ref="GK45:GK50"/>
    <mergeCell ref="GL45:GL50"/>
    <mergeCell ref="GM45:GM50"/>
    <mergeCell ref="GN45:GN50"/>
    <mergeCell ref="GO45:GO50"/>
    <mergeCell ref="HX45:HX50"/>
    <mergeCell ref="HY45:HY50"/>
    <mergeCell ref="HN45:HN50"/>
    <mergeCell ref="HO45:HO50"/>
    <mergeCell ref="HP45:HP50"/>
    <mergeCell ref="HQ45:HQ50"/>
    <mergeCell ref="HR45:HR50"/>
    <mergeCell ref="HS45:HS50"/>
    <mergeCell ref="HH45:HH50"/>
    <mergeCell ref="HI45:HI50"/>
    <mergeCell ref="HJ45:HJ50"/>
    <mergeCell ref="HK45:HK50"/>
    <mergeCell ref="HL45:HL50"/>
    <mergeCell ref="HM45:HM50"/>
    <mergeCell ref="HB45:HB50"/>
    <mergeCell ref="HC45:HC50"/>
    <mergeCell ref="HD45:HD50"/>
    <mergeCell ref="HE45:HE50"/>
    <mergeCell ref="HF45:HF50"/>
    <mergeCell ref="HG45:HG50"/>
    <mergeCell ref="A49:A50"/>
    <mergeCell ref="B49:B50"/>
    <mergeCell ref="E49:F49"/>
    <mergeCell ref="G49:H49"/>
    <mergeCell ref="E50:F50"/>
    <mergeCell ref="G50:H50"/>
    <mergeCell ref="IL45:IL50"/>
    <mergeCell ref="A46:D46"/>
    <mergeCell ref="E46:F46"/>
    <mergeCell ref="G46:H46"/>
    <mergeCell ref="I46:L50"/>
    <mergeCell ref="A47:B47"/>
    <mergeCell ref="C47:D47"/>
    <mergeCell ref="E47:F47"/>
    <mergeCell ref="G47:H47"/>
    <mergeCell ref="G48:H48"/>
    <mergeCell ref="IF45:IF50"/>
    <mergeCell ref="IG45:IG50"/>
    <mergeCell ref="IH45:IH50"/>
    <mergeCell ref="II45:II50"/>
    <mergeCell ref="IJ45:IJ50"/>
    <mergeCell ref="IK45:IK50"/>
    <mergeCell ref="HZ45:HZ50"/>
    <mergeCell ref="IA45:IA50"/>
    <mergeCell ref="IB45:IB50"/>
    <mergeCell ref="IC45:IC50"/>
    <mergeCell ref="ID45:ID50"/>
    <mergeCell ref="IE45:IE50"/>
    <mergeCell ref="HT45:HT50"/>
    <mergeCell ref="HU45:HU50"/>
    <mergeCell ref="HV45:HV50"/>
    <mergeCell ref="HW45:HW50"/>
    <mergeCell ref="I59:L59"/>
    <mergeCell ref="M59:M64"/>
    <mergeCell ref="N59:N64"/>
    <mergeCell ref="O59:O64"/>
    <mergeCell ref="P59:P64"/>
    <mergeCell ref="Q59:Q64"/>
    <mergeCell ref="C54:C55"/>
    <mergeCell ref="G54:H54"/>
    <mergeCell ref="G55:H55"/>
    <mergeCell ref="A59:D59"/>
    <mergeCell ref="E59:F59"/>
    <mergeCell ref="G59:H59"/>
    <mergeCell ref="C51:C53"/>
    <mergeCell ref="F51:F53"/>
    <mergeCell ref="G51:H51"/>
    <mergeCell ref="I51:L51"/>
    <mergeCell ref="G52:H52"/>
    <mergeCell ref="G53:H53"/>
    <mergeCell ref="AD59:AD64"/>
    <mergeCell ref="AE59:AE64"/>
    <mergeCell ref="AF59:AF64"/>
    <mergeCell ref="AG59:AG64"/>
    <mergeCell ref="AH59:AH64"/>
    <mergeCell ref="AI59:AI64"/>
    <mergeCell ref="X59:X64"/>
    <mergeCell ref="Y59:Y64"/>
    <mergeCell ref="Z59:Z64"/>
    <mergeCell ref="AA59:AA64"/>
    <mergeCell ref="AB59:AB64"/>
    <mergeCell ref="AC59:AC64"/>
    <mergeCell ref="R59:R64"/>
    <mergeCell ref="S59:S64"/>
    <mergeCell ref="T59:T64"/>
    <mergeCell ref="U59:U64"/>
    <mergeCell ref="V59:V64"/>
    <mergeCell ref="W59:W64"/>
    <mergeCell ref="AV59:AV64"/>
    <mergeCell ref="AW59:AW64"/>
    <mergeCell ref="AX59:AX64"/>
    <mergeCell ref="AY59:AY64"/>
    <mergeCell ref="AZ59:AZ64"/>
    <mergeCell ref="BA59:BA64"/>
    <mergeCell ref="AP59:AP64"/>
    <mergeCell ref="AQ59:AQ64"/>
    <mergeCell ref="AR59:AR64"/>
    <mergeCell ref="AS59:AS64"/>
    <mergeCell ref="AT59:AT64"/>
    <mergeCell ref="AU59:AU64"/>
    <mergeCell ref="AJ59:AJ64"/>
    <mergeCell ref="AK59:AK64"/>
    <mergeCell ref="AL59:AL64"/>
    <mergeCell ref="AM59:AM64"/>
    <mergeCell ref="AN59:AN64"/>
    <mergeCell ref="AO59:AO64"/>
    <mergeCell ref="BN59:BN64"/>
    <mergeCell ref="BO59:BO64"/>
    <mergeCell ref="BP59:BP64"/>
    <mergeCell ref="BQ59:BQ64"/>
    <mergeCell ref="BR59:BR64"/>
    <mergeCell ref="BS59:BS64"/>
    <mergeCell ref="BH59:BH64"/>
    <mergeCell ref="BI59:BI64"/>
    <mergeCell ref="BJ59:BJ64"/>
    <mergeCell ref="BK59:BK64"/>
    <mergeCell ref="BL59:BL64"/>
    <mergeCell ref="BM59:BM64"/>
    <mergeCell ref="BB59:BB64"/>
    <mergeCell ref="BC59:BC64"/>
    <mergeCell ref="BD59:BD64"/>
    <mergeCell ref="BE59:BE64"/>
    <mergeCell ref="BF59:BF64"/>
    <mergeCell ref="BG59:BG64"/>
    <mergeCell ref="CF59:CF64"/>
    <mergeCell ref="CG59:CG64"/>
    <mergeCell ref="CH59:CH64"/>
    <mergeCell ref="CI59:CI64"/>
    <mergeCell ref="CJ59:CJ64"/>
    <mergeCell ref="CK59:CK64"/>
    <mergeCell ref="BZ59:BZ64"/>
    <mergeCell ref="CA59:CA64"/>
    <mergeCell ref="CB59:CB64"/>
    <mergeCell ref="CC59:CC64"/>
    <mergeCell ref="CD59:CD64"/>
    <mergeCell ref="CE59:CE64"/>
    <mergeCell ref="BT59:BT64"/>
    <mergeCell ref="BU59:BU64"/>
    <mergeCell ref="BV59:BV64"/>
    <mergeCell ref="BW59:BW64"/>
    <mergeCell ref="BX59:BX64"/>
    <mergeCell ref="BY59:BY64"/>
    <mergeCell ref="CX59:CX64"/>
    <mergeCell ref="CY59:CY64"/>
    <mergeCell ref="CZ59:CZ64"/>
    <mergeCell ref="DA59:DA64"/>
    <mergeCell ref="DB59:DB64"/>
    <mergeCell ref="DC59:DC64"/>
    <mergeCell ref="CR59:CR64"/>
    <mergeCell ref="CS59:CS64"/>
    <mergeCell ref="CT59:CT64"/>
    <mergeCell ref="CU59:CU64"/>
    <mergeCell ref="CV59:CV64"/>
    <mergeCell ref="CW59:CW64"/>
    <mergeCell ref="CL59:CL64"/>
    <mergeCell ref="CM59:CM64"/>
    <mergeCell ref="CN59:CN64"/>
    <mergeCell ref="CO59:CO64"/>
    <mergeCell ref="CP59:CP64"/>
    <mergeCell ref="CQ59:CQ64"/>
    <mergeCell ref="DP59:DP64"/>
    <mergeCell ref="DQ59:DQ64"/>
    <mergeCell ref="DR59:DR64"/>
    <mergeCell ref="DS59:DS64"/>
    <mergeCell ref="DT59:DT64"/>
    <mergeCell ref="DU59:DU64"/>
    <mergeCell ref="DJ59:DJ64"/>
    <mergeCell ref="DK59:DK64"/>
    <mergeCell ref="DL59:DL64"/>
    <mergeCell ref="DM59:DM64"/>
    <mergeCell ref="DN59:DN64"/>
    <mergeCell ref="DO59:DO64"/>
    <mergeCell ref="DD59:DD64"/>
    <mergeCell ref="DE59:DE64"/>
    <mergeCell ref="DF59:DF64"/>
    <mergeCell ref="DG59:DG64"/>
    <mergeCell ref="DH59:DH64"/>
    <mergeCell ref="DI59:DI64"/>
    <mergeCell ref="EH59:EH64"/>
    <mergeCell ref="EI59:EI64"/>
    <mergeCell ref="EJ59:EJ64"/>
    <mergeCell ref="EK59:EK64"/>
    <mergeCell ref="EL59:EL64"/>
    <mergeCell ref="EM59:EM64"/>
    <mergeCell ref="EB59:EB64"/>
    <mergeCell ref="EC59:EC64"/>
    <mergeCell ref="ED59:ED64"/>
    <mergeCell ref="EE59:EE64"/>
    <mergeCell ref="EF59:EF64"/>
    <mergeCell ref="EG59:EG64"/>
    <mergeCell ref="DV59:DV64"/>
    <mergeCell ref="DW59:DW64"/>
    <mergeCell ref="DX59:DX64"/>
    <mergeCell ref="DY59:DY64"/>
    <mergeCell ref="DZ59:DZ64"/>
    <mergeCell ref="EA59:EA64"/>
    <mergeCell ref="EZ59:EZ64"/>
    <mergeCell ref="FA59:FA64"/>
    <mergeCell ref="FB59:FB64"/>
    <mergeCell ref="FC59:FC64"/>
    <mergeCell ref="FD59:FD64"/>
    <mergeCell ref="FE59:FE64"/>
    <mergeCell ref="ET59:ET64"/>
    <mergeCell ref="EU59:EU64"/>
    <mergeCell ref="EV59:EV64"/>
    <mergeCell ref="EW59:EW64"/>
    <mergeCell ref="EX59:EX64"/>
    <mergeCell ref="EY59:EY64"/>
    <mergeCell ref="EN59:EN64"/>
    <mergeCell ref="EO59:EO64"/>
    <mergeCell ref="EP59:EP64"/>
    <mergeCell ref="EQ59:EQ64"/>
    <mergeCell ref="ER59:ER64"/>
    <mergeCell ref="ES59:ES64"/>
    <mergeCell ref="FR59:FR64"/>
    <mergeCell ref="FS59:FS64"/>
    <mergeCell ref="FT59:FT64"/>
    <mergeCell ref="FU59:FU64"/>
    <mergeCell ref="FV59:FV64"/>
    <mergeCell ref="FW59:FW64"/>
    <mergeCell ref="FL59:FL64"/>
    <mergeCell ref="FM59:FM64"/>
    <mergeCell ref="FN59:FN64"/>
    <mergeCell ref="FO59:FO64"/>
    <mergeCell ref="FP59:FP64"/>
    <mergeCell ref="FQ59:FQ64"/>
    <mergeCell ref="FF59:FF64"/>
    <mergeCell ref="FG59:FG64"/>
    <mergeCell ref="FH59:FH64"/>
    <mergeCell ref="FI59:FI64"/>
    <mergeCell ref="FJ59:FJ64"/>
    <mergeCell ref="FK59:FK64"/>
    <mergeCell ref="GJ59:GJ64"/>
    <mergeCell ref="GK59:GK64"/>
    <mergeCell ref="GL59:GL64"/>
    <mergeCell ref="GM59:GM64"/>
    <mergeCell ref="GN59:GN64"/>
    <mergeCell ref="GO59:GO64"/>
    <mergeCell ref="GD59:GD64"/>
    <mergeCell ref="GE59:GE64"/>
    <mergeCell ref="GF59:GF64"/>
    <mergeCell ref="GG59:GG64"/>
    <mergeCell ref="GH59:GH64"/>
    <mergeCell ref="GI59:GI64"/>
    <mergeCell ref="FX59:FX64"/>
    <mergeCell ref="FY59:FY64"/>
    <mergeCell ref="FZ59:FZ64"/>
    <mergeCell ref="GA59:GA64"/>
    <mergeCell ref="GB59:GB64"/>
    <mergeCell ref="GC59:GC64"/>
    <mergeCell ref="HB59:HB64"/>
    <mergeCell ref="HC59:HC64"/>
    <mergeCell ref="HD59:HD64"/>
    <mergeCell ref="HE59:HE64"/>
    <mergeCell ref="HF59:HF64"/>
    <mergeCell ref="HG59:HG64"/>
    <mergeCell ref="GV59:GV64"/>
    <mergeCell ref="GW59:GW64"/>
    <mergeCell ref="GX59:GX64"/>
    <mergeCell ref="GY59:GY64"/>
    <mergeCell ref="GZ59:GZ64"/>
    <mergeCell ref="HA59:HA64"/>
    <mergeCell ref="GP59:GP64"/>
    <mergeCell ref="GQ59:GQ64"/>
    <mergeCell ref="GR59:GR64"/>
    <mergeCell ref="GS59:GS64"/>
    <mergeCell ref="GT59:GT64"/>
    <mergeCell ref="GU59:GU64"/>
    <mergeCell ref="ID59:ID64"/>
    <mergeCell ref="IE59:IE64"/>
    <mergeCell ref="HT59:HT64"/>
    <mergeCell ref="HU59:HU64"/>
    <mergeCell ref="HV59:HV64"/>
    <mergeCell ref="HW59:HW64"/>
    <mergeCell ref="HX59:HX64"/>
    <mergeCell ref="HY59:HY64"/>
    <mergeCell ref="HN59:HN64"/>
    <mergeCell ref="HO59:HO64"/>
    <mergeCell ref="HP59:HP64"/>
    <mergeCell ref="HQ59:HQ64"/>
    <mergeCell ref="HR59:HR64"/>
    <mergeCell ref="HS59:HS64"/>
    <mergeCell ref="HH59:HH64"/>
    <mergeCell ref="HI59:HI64"/>
    <mergeCell ref="HJ59:HJ64"/>
    <mergeCell ref="HK59:HK64"/>
    <mergeCell ref="HL59:HL64"/>
    <mergeCell ref="HM59:HM64"/>
    <mergeCell ref="C65:C67"/>
    <mergeCell ref="F65:F67"/>
    <mergeCell ref="G65:H65"/>
    <mergeCell ref="I65:L65"/>
    <mergeCell ref="G66:H66"/>
    <mergeCell ref="G67:H67"/>
    <mergeCell ref="A63:A64"/>
    <mergeCell ref="B63:B64"/>
    <mergeCell ref="E63:F63"/>
    <mergeCell ref="G63:H63"/>
    <mergeCell ref="E64:F64"/>
    <mergeCell ref="G64:H64"/>
    <mergeCell ref="IL59:IL64"/>
    <mergeCell ref="A60:D60"/>
    <mergeCell ref="E60:F60"/>
    <mergeCell ref="G60:H60"/>
    <mergeCell ref="I60:L64"/>
    <mergeCell ref="A61:B61"/>
    <mergeCell ref="C61:D61"/>
    <mergeCell ref="E61:F61"/>
    <mergeCell ref="G61:H61"/>
    <mergeCell ref="G62:H62"/>
    <mergeCell ref="IF59:IF64"/>
    <mergeCell ref="IG59:IG64"/>
    <mergeCell ref="IH59:IH64"/>
    <mergeCell ref="II59:II64"/>
    <mergeCell ref="IJ59:IJ64"/>
    <mergeCell ref="IK59:IK64"/>
    <mergeCell ref="HZ59:HZ64"/>
    <mergeCell ref="IA59:IA64"/>
    <mergeCell ref="IB59:IB64"/>
    <mergeCell ref="IC59:IC64"/>
    <mergeCell ref="R73:R78"/>
    <mergeCell ref="S73:S78"/>
    <mergeCell ref="T73:T78"/>
    <mergeCell ref="U73:U78"/>
    <mergeCell ref="V73:V78"/>
    <mergeCell ref="W73:W78"/>
    <mergeCell ref="I73:L73"/>
    <mergeCell ref="M73:M78"/>
    <mergeCell ref="N73:N78"/>
    <mergeCell ref="O73:O78"/>
    <mergeCell ref="P73:P78"/>
    <mergeCell ref="Q73:Q78"/>
    <mergeCell ref="C68:C69"/>
    <mergeCell ref="G68:H68"/>
    <mergeCell ref="G69:H69"/>
    <mergeCell ref="A73:D73"/>
    <mergeCell ref="E73:F73"/>
    <mergeCell ref="G73:H73"/>
    <mergeCell ref="AJ73:AJ78"/>
    <mergeCell ref="AK73:AK78"/>
    <mergeCell ref="AL73:AL78"/>
    <mergeCell ref="AM73:AM78"/>
    <mergeCell ref="AN73:AN78"/>
    <mergeCell ref="AO73:AO78"/>
    <mergeCell ref="AD73:AD78"/>
    <mergeCell ref="AE73:AE78"/>
    <mergeCell ref="AF73:AF78"/>
    <mergeCell ref="AG73:AG78"/>
    <mergeCell ref="AH73:AH78"/>
    <mergeCell ref="AI73:AI78"/>
    <mergeCell ref="X73:X78"/>
    <mergeCell ref="Y73:Y78"/>
    <mergeCell ref="Z73:Z78"/>
    <mergeCell ref="AA73:AA78"/>
    <mergeCell ref="AB73:AB78"/>
    <mergeCell ref="AC73:AC78"/>
    <mergeCell ref="BB73:BB78"/>
    <mergeCell ref="BC73:BC78"/>
    <mergeCell ref="BD73:BD78"/>
    <mergeCell ref="BE73:BE78"/>
    <mergeCell ref="BF73:BF78"/>
    <mergeCell ref="BG73:BG78"/>
    <mergeCell ref="AV73:AV78"/>
    <mergeCell ref="AW73:AW78"/>
    <mergeCell ref="AX73:AX78"/>
    <mergeCell ref="AY73:AY78"/>
    <mergeCell ref="AZ73:AZ78"/>
    <mergeCell ref="BA73:BA78"/>
    <mergeCell ref="AP73:AP78"/>
    <mergeCell ref="AQ73:AQ78"/>
    <mergeCell ref="AR73:AR78"/>
    <mergeCell ref="AS73:AS78"/>
    <mergeCell ref="AT73:AT78"/>
    <mergeCell ref="AU73:AU78"/>
    <mergeCell ref="BT73:BT78"/>
    <mergeCell ref="BU73:BU78"/>
    <mergeCell ref="BV73:BV78"/>
    <mergeCell ref="BW73:BW78"/>
    <mergeCell ref="BX73:BX78"/>
    <mergeCell ref="BY73:BY78"/>
    <mergeCell ref="BN73:BN78"/>
    <mergeCell ref="BO73:BO78"/>
    <mergeCell ref="BP73:BP78"/>
    <mergeCell ref="BQ73:BQ78"/>
    <mergeCell ref="BR73:BR78"/>
    <mergeCell ref="BS73:BS78"/>
    <mergeCell ref="BH73:BH78"/>
    <mergeCell ref="BI73:BI78"/>
    <mergeCell ref="BJ73:BJ78"/>
    <mergeCell ref="BK73:BK78"/>
    <mergeCell ref="BL73:BL78"/>
    <mergeCell ref="BM73:BM78"/>
    <mergeCell ref="CL73:CL78"/>
    <mergeCell ref="CM73:CM78"/>
    <mergeCell ref="CN73:CN78"/>
    <mergeCell ref="CO73:CO78"/>
    <mergeCell ref="CP73:CP78"/>
    <mergeCell ref="CQ73:CQ78"/>
    <mergeCell ref="CF73:CF78"/>
    <mergeCell ref="CG73:CG78"/>
    <mergeCell ref="CH73:CH78"/>
    <mergeCell ref="CI73:CI78"/>
    <mergeCell ref="CJ73:CJ78"/>
    <mergeCell ref="CK73:CK78"/>
    <mergeCell ref="BZ73:BZ78"/>
    <mergeCell ref="CA73:CA78"/>
    <mergeCell ref="CB73:CB78"/>
    <mergeCell ref="CC73:CC78"/>
    <mergeCell ref="CD73:CD78"/>
    <mergeCell ref="CE73:CE78"/>
    <mergeCell ref="DD73:DD78"/>
    <mergeCell ref="DE73:DE78"/>
    <mergeCell ref="DF73:DF78"/>
    <mergeCell ref="DG73:DG78"/>
    <mergeCell ref="DH73:DH78"/>
    <mergeCell ref="DI73:DI78"/>
    <mergeCell ref="CX73:CX78"/>
    <mergeCell ref="CY73:CY78"/>
    <mergeCell ref="CZ73:CZ78"/>
    <mergeCell ref="DA73:DA78"/>
    <mergeCell ref="DB73:DB78"/>
    <mergeCell ref="DC73:DC78"/>
    <mergeCell ref="CR73:CR78"/>
    <mergeCell ref="CS73:CS78"/>
    <mergeCell ref="CT73:CT78"/>
    <mergeCell ref="CU73:CU78"/>
    <mergeCell ref="CV73:CV78"/>
    <mergeCell ref="CW73:CW78"/>
    <mergeCell ref="DV73:DV78"/>
    <mergeCell ref="DW73:DW78"/>
    <mergeCell ref="DX73:DX78"/>
    <mergeCell ref="DY73:DY78"/>
    <mergeCell ref="DZ73:DZ78"/>
    <mergeCell ref="EA73:EA78"/>
    <mergeCell ref="DP73:DP78"/>
    <mergeCell ref="DQ73:DQ78"/>
    <mergeCell ref="DR73:DR78"/>
    <mergeCell ref="DS73:DS78"/>
    <mergeCell ref="DT73:DT78"/>
    <mergeCell ref="DU73:DU78"/>
    <mergeCell ref="DJ73:DJ78"/>
    <mergeCell ref="DK73:DK78"/>
    <mergeCell ref="DL73:DL78"/>
    <mergeCell ref="DM73:DM78"/>
    <mergeCell ref="DN73:DN78"/>
    <mergeCell ref="DO73:DO78"/>
    <mergeCell ref="EN73:EN78"/>
    <mergeCell ref="EO73:EO78"/>
    <mergeCell ref="EP73:EP78"/>
    <mergeCell ref="EQ73:EQ78"/>
    <mergeCell ref="ER73:ER78"/>
    <mergeCell ref="ES73:ES78"/>
    <mergeCell ref="EH73:EH78"/>
    <mergeCell ref="EI73:EI78"/>
    <mergeCell ref="EJ73:EJ78"/>
    <mergeCell ref="EK73:EK78"/>
    <mergeCell ref="EL73:EL78"/>
    <mergeCell ref="EM73:EM78"/>
    <mergeCell ref="EB73:EB78"/>
    <mergeCell ref="EC73:EC78"/>
    <mergeCell ref="ED73:ED78"/>
    <mergeCell ref="EE73:EE78"/>
    <mergeCell ref="EF73:EF78"/>
    <mergeCell ref="EG73:EG78"/>
    <mergeCell ref="FF73:FF78"/>
    <mergeCell ref="FG73:FG78"/>
    <mergeCell ref="FH73:FH78"/>
    <mergeCell ref="FI73:FI78"/>
    <mergeCell ref="FJ73:FJ78"/>
    <mergeCell ref="FK73:FK78"/>
    <mergeCell ref="EZ73:EZ78"/>
    <mergeCell ref="FA73:FA78"/>
    <mergeCell ref="FB73:FB78"/>
    <mergeCell ref="FC73:FC78"/>
    <mergeCell ref="FD73:FD78"/>
    <mergeCell ref="FE73:FE78"/>
    <mergeCell ref="ET73:ET78"/>
    <mergeCell ref="EU73:EU78"/>
    <mergeCell ref="EV73:EV78"/>
    <mergeCell ref="EW73:EW78"/>
    <mergeCell ref="EX73:EX78"/>
    <mergeCell ref="EY73:EY78"/>
    <mergeCell ref="FX73:FX78"/>
    <mergeCell ref="FY73:FY78"/>
    <mergeCell ref="FZ73:FZ78"/>
    <mergeCell ref="GA73:GA78"/>
    <mergeCell ref="GB73:GB78"/>
    <mergeCell ref="GC73:GC78"/>
    <mergeCell ref="FR73:FR78"/>
    <mergeCell ref="FS73:FS78"/>
    <mergeCell ref="FT73:FT78"/>
    <mergeCell ref="FU73:FU78"/>
    <mergeCell ref="FV73:FV78"/>
    <mergeCell ref="FW73:FW78"/>
    <mergeCell ref="FL73:FL78"/>
    <mergeCell ref="FM73:FM78"/>
    <mergeCell ref="FN73:FN78"/>
    <mergeCell ref="FO73:FO78"/>
    <mergeCell ref="FP73:FP78"/>
    <mergeCell ref="FQ73:FQ78"/>
    <mergeCell ref="GP73:GP78"/>
    <mergeCell ref="GQ73:GQ78"/>
    <mergeCell ref="GR73:GR78"/>
    <mergeCell ref="GS73:GS78"/>
    <mergeCell ref="GT73:GT78"/>
    <mergeCell ref="GU73:GU78"/>
    <mergeCell ref="GJ73:GJ78"/>
    <mergeCell ref="GK73:GK78"/>
    <mergeCell ref="GL73:GL78"/>
    <mergeCell ref="GM73:GM78"/>
    <mergeCell ref="GN73:GN78"/>
    <mergeCell ref="GO73:GO78"/>
    <mergeCell ref="GD73:GD78"/>
    <mergeCell ref="GE73:GE78"/>
    <mergeCell ref="GF73:GF78"/>
    <mergeCell ref="GG73:GG78"/>
    <mergeCell ref="GH73:GH78"/>
    <mergeCell ref="GI73:GI78"/>
    <mergeCell ref="HH73:HH78"/>
    <mergeCell ref="HI73:HI78"/>
    <mergeCell ref="HJ73:HJ78"/>
    <mergeCell ref="HK73:HK78"/>
    <mergeCell ref="HL73:HL78"/>
    <mergeCell ref="HM73:HM78"/>
    <mergeCell ref="HB73:HB78"/>
    <mergeCell ref="HC73:HC78"/>
    <mergeCell ref="HD73:HD78"/>
    <mergeCell ref="HE73:HE78"/>
    <mergeCell ref="HF73:HF78"/>
    <mergeCell ref="HG73:HG78"/>
    <mergeCell ref="GV73:GV78"/>
    <mergeCell ref="GW73:GW78"/>
    <mergeCell ref="GX73:GX78"/>
    <mergeCell ref="GY73:GY78"/>
    <mergeCell ref="GZ73:GZ78"/>
    <mergeCell ref="HA73:HA78"/>
    <mergeCell ref="IA73:IA78"/>
    <mergeCell ref="IB73:IB78"/>
    <mergeCell ref="IC73:IC78"/>
    <mergeCell ref="ID73:ID78"/>
    <mergeCell ref="IE73:IE78"/>
    <mergeCell ref="HT73:HT78"/>
    <mergeCell ref="HU73:HU78"/>
    <mergeCell ref="HV73:HV78"/>
    <mergeCell ref="HW73:HW78"/>
    <mergeCell ref="HX73:HX78"/>
    <mergeCell ref="HY73:HY78"/>
    <mergeCell ref="HN73:HN78"/>
    <mergeCell ref="HO73:HO78"/>
    <mergeCell ref="HP73:HP78"/>
    <mergeCell ref="HQ73:HQ78"/>
    <mergeCell ref="HR73:HR78"/>
    <mergeCell ref="HS73:HS78"/>
    <mergeCell ref="C82:C83"/>
    <mergeCell ref="G82:H82"/>
    <mergeCell ref="G83:H83"/>
    <mergeCell ref="C79:C81"/>
    <mergeCell ref="F79:F81"/>
    <mergeCell ref="G79:H79"/>
    <mergeCell ref="I79:L79"/>
    <mergeCell ref="G80:H80"/>
    <mergeCell ref="G81:H81"/>
    <mergeCell ref="A77:A78"/>
    <mergeCell ref="B77:B78"/>
    <mergeCell ref="E77:F77"/>
    <mergeCell ref="G77:H77"/>
    <mergeCell ref="E78:F78"/>
    <mergeCell ref="G78:H78"/>
    <mergeCell ref="IL73:IL78"/>
    <mergeCell ref="A74:D74"/>
    <mergeCell ref="E74:F74"/>
    <mergeCell ref="G74:H74"/>
    <mergeCell ref="I74:L78"/>
    <mergeCell ref="A75:B75"/>
    <mergeCell ref="C75:D75"/>
    <mergeCell ref="E75:F75"/>
    <mergeCell ref="G75:H75"/>
    <mergeCell ref="G76:H76"/>
    <mergeCell ref="IF73:IF78"/>
    <mergeCell ref="IG73:IG78"/>
    <mergeCell ref="IH73:IH78"/>
    <mergeCell ref="II73:II78"/>
    <mergeCell ref="IJ73:IJ78"/>
    <mergeCell ref="IK73:IK78"/>
    <mergeCell ref="HZ73:HZ78"/>
  </mergeCells>
  <phoneticPr fontId="53"/>
  <dataValidations count="2">
    <dataValidation operator="equal" allowBlank="1" sqref="A23 I23:L23 A37 I37:L37 A51 I51:L51 A65 I65:L65 A79 I79:L79">
      <formula1>#REF!</formula1>
      <formula2>0</formula2>
    </dataValidation>
    <dataValidation type="list" operator="equal" allowBlank="1" sqref="H22 H36 H50 H64 H78">
      <formula1>#REF!</formula1>
      <formula2>0</formula2>
    </dataValidation>
  </dataValidations>
  <pageMargins left="0.78749999999999998" right="0.78749999999999998" top="1.0527777777777778" bottom="1.0527777777777778" header="0.78749999999999998" footer="0.78749999999999998"/>
  <pageSetup paperSize="9" firstPageNumber="0" orientation="portrait" horizontalDpi="300" verticalDpi="300" r:id="rId1"/>
  <headerFooter alignWithMargins="0">
    <oddHeader>&amp;C&amp;"Times New Roman,標準"&amp;12&amp;A</oddHeader>
    <oddFooter>&amp;C&amp;"Times New Roman,標準"&amp;12ページ &amp;P</oddFooter>
  </headerFooter>
  <extLst>
    <ext xmlns:x14="http://schemas.microsoft.com/office/spreadsheetml/2009/9/main" uri="{CCE6A557-97BC-4b89-ADB6-D9C93CAAB3DF}">
      <x14:dataValidations xmlns:xm="http://schemas.microsoft.com/office/excel/2006/main" count="5">
        <x14:dataValidation type="list" operator="equal" allowBlank="1">
          <x14:formula1>
            <xm:f>リスト!$K$2:$K$33</xm:f>
          </x14:formula1>
          <x14:formula2>
            <xm:f>0</xm:f>
          </x14:formula2>
          <xm:sqref>G20:H20 G34:H34 G48:H48 G62:H62 G76:H76</xm:sqref>
        </x14:dataValidation>
        <x14:dataValidation type="list" operator="equal" allowBlank="1">
          <x14:formula1>
            <xm:f>リスト!$C$2:$C$7</xm:f>
          </x14:formula1>
          <x14:formula2>
            <xm:f>0</xm:f>
          </x14:formula2>
          <xm:sqref>G18:H18 G32:H32 G46:H46 G60:H60 G74:H74</xm:sqref>
        </x14:dataValidation>
        <x14:dataValidation operator="equal" allowBlank="1">
          <x14:formula1>
            <xm:f>リスト!$F$12:$F$15</xm:f>
          </x14:formula1>
          <x14:formula2>
            <xm:f>0</xm:f>
          </x14:formula2>
          <xm:sqref>C23 C37 C51 C65 C79</xm:sqref>
        </x14:dataValidation>
        <x14:dataValidation operator="equal" allowBlank="1">
          <x14:formula1>
            <xm:f>リスト!$F$12:$F$15</xm:f>
          </x14:formula1>
          <x14:formula2>
            <xm:f>0</xm:f>
          </x14:formula2>
          <xm:sqref>F23 C26 F27 F37 C40 F41 F51 C54 F55 F65 C68 F69 F79 C82 F83</xm:sqref>
        </x14:dataValidation>
        <x14:dataValidation type="list" operator="equal" allowBlank="1">
          <x14:formula1>
            <xm:f>リスト!$AW$60:$AW$116</xm:f>
          </x14:formula1>
          <x14:formula2>
            <xm:f>0</xm:f>
          </x14:formula2>
          <xm:sqref>G22 G36 G50 G64 G78</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5</vt:i4>
      </vt:variant>
      <vt:variant>
        <vt:lpstr>名前付き一覧</vt:lpstr>
      </vt:variant>
      <vt:variant>
        <vt:i4>4</vt:i4>
      </vt:variant>
    </vt:vector>
  </HeadingPairs>
  <TitlesOfParts>
    <vt:vector size="9" baseType="lpstr">
      <vt:lpstr>リスト</vt:lpstr>
      <vt:lpstr>キャラシート</vt:lpstr>
      <vt:lpstr>応用技</vt:lpstr>
      <vt:lpstr>クリーチャー</vt:lpstr>
      <vt:lpstr>進行表</vt:lpstr>
      <vt:lpstr>攻撃スタイル</vt:lpstr>
      <vt:lpstr>身体タイプ</vt:lpstr>
      <vt:lpstr>能力タイプ</vt:lpstr>
      <vt:lpstr>能力分類</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2016-12-24T15:43:13Z</dcterms:created>
  <dcterms:modified xsi:type="dcterms:W3CDTF">2017-09-03T11:36:19Z</dcterms:modified>
</cp:coreProperties>
</file>