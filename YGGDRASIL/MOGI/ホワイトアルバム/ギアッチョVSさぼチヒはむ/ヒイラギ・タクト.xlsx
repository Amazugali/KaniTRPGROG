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山口 寛\Desktop\TRPG\鋼鉄のユグドラシル\23.ヒイラギ・タクト\"/>
    </mc:Choice>
  </mc:AlternateContent>
  <xr:revisionPtr revIDLastSave="0" documentId="13_ncr:1_{AAE7BB2E-8EE5-4A47-85AA-099F01D80461}" xr6:coauthVersionLast="43" xr6:coauthVersionMax="43" xr10:uidLastSave="{00000000-0000-0000-0000-000000000000}"/>
  <bookViews>
    <workbookView xWindow="-108" yWindow="-108" windowWidth="23256" windowHeight="12576" tabRatio="796" firstSheet="1" activeTab="1" xr2:uid="{00000000-000D-0000-FFFF-FFFF00000000}"/>
  </bookViews>
  <sheets>
    <sheet name="リスト" sheetId="1" state="hidden" r:id="rId1"/>
    <sheet name="キャラシート" sheetId="2" r:id="rId2"/>
    <sheet name="応用技" sheetId="3" r:id="rId3"/>
    <sheet name="クリーチャー" sheetId="4" r:id="rId4"/>
    <sheet name="進行表" sheetId="5" r:id="rId5"/>
    <sheet name="質疑応答" sheetId="6" r:id="rId6"/>
    <sheet name="軌跡" sheetId="7" r:id="rId7"/>
  </sheets>
  <definedNames>
    <definedName name="攻撃スタイル">リスト!$C$3:$C$5</definedName>
    <definedName name="身体タイプ">リスト!$F$3:$F$5</definedName>
    <definedName name="能力タイプ">リスト!$A$3:$A$8</definedName>
    <definedName name="能力分類">リスト!$A$3:$A$8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7" i="2" l="1"/>
  <c r="Z7" i="2"/>
  <c r="W10" i="2"/>
  <c r="X10" i="2"/>
  <c r="Z10" i="2"/>
  <c r="Z17" i="2" s="1"/>
  <c r="Z18" i="2" s="1"/>
  <c r="W11" i="2"/>
  <c r="X11" i="2"/>
  <c r="Z11" i="2"/>
  <c r="W12" i="2"/>
  <c r="X12" i="2"/>
  <c r="Z12" i="2"/>
  <c r="W13" i="2"/>
  <c r="X13" i="2"/>
  <c r="Z13" i="2"/>
  <c r="W14" i="2"/>
  <c r="X14" i="2"/>
  <c r="Z14" i="2"/>
  <c r="W15" i="2"/>
  <c r="AA15" i="2" s="1"/>
  <c r="X15" i="2"/>
  <c r="Z15" i="2"/>
  <c r="W16" i="2"/>
  <c r="AA16" i="2" s="1"/>
  <c r="X16" i="2"/>
  <c r="U17" i="2"/>
  <c r="V17" i="2"/>
  <c r="V18" i="2" s="1"/>
  <c r="Y17" i="2"/>
  <c r="Y18" i="2" s="1"/>
  <c r="U18" i="2"/>
  <c r="AA22" i="2"/>
  <c r="T24" i="2"/>
  <c r="AA24" i="2"/>
  <c r="T25" i="2"/>
  <c r="AA25" i="2"/>
  <c r="T26" i="2"/>
  <c r="AA26" i="2"/>
  <c r="T27" i="2"/>
  <c r="AA27" i="2"/>
  <c r="O28" i="2"/>
  <c r="T28" i="2"/>
  <c r="AA28" i="2"/>
  <c r="O29" i="2"/>
  <c r="T29" i="2"/>
  <c r="AA29" i="2"/>
  <c r="O30" i="2"/>
  <c r="T30" i="2"/>
  <c r="AA30" i="2"/>
  <c r="G31" i="2"/>
  <c r="E23" i="5" s="1"/>
  <c r="H31" i="2"/>
  <c r="O31" i="2"/>
  <c r="U31" i="2"/>
  <c r="V31" i="2"/>
  <c r="W31" i="2"/>
  <c r="X31" i="2"/>
  <c r="Y31" i="2"/>
  <c r="Z31" i="2"/>
  <c r="O32" i="2"/>
  <c r="G33" i="2"/>
  <c r="H33" i="2"/>
  <c r="E24" i="5" s="1"/>
  <c r="O33" i="2"/>
  <c r="G35" i="2"/>
  <c r="H35" i="2"/>
  <c r="AA38" i="2"/>
  <c r="X44" i="2" s="1"/>
  <c r="X45" i="2" s="1"/>
  <c r="AA39" i="2"/>
  <c r="Y44" i="2" s="1"/>
  <c r="Y45" i="2" s="1"/>
  <c r="AA40" i="2"/>
  <c r="Z44" i="2"/>
  <c r="Z45" i="2" s="1"/>
  <c r="Y50" i="2"/>
  <c r="Y59" i="2"/>
  <c r="I5" i="4"/>
  <c r="C10" i="4"/>
  <c r="J37" i="5" s="1"/>
  <c r="B36" i="5" s="1"/>
  <c r="A36" i="5" s="1"/>
  <c r="C11" i="4"/>
  <c r="C12" i="4"/>
  <c r="C13" i="4"/>
  <c r="C14" i="4"/>
  <c r="B38" i="5" s="1"/>
  <c r="C15" i="4"/>
  <c r="D38" i="5" s="1"/>
  <c r="C16" i="4"/>
  <c r="D35" i="5" s="1"/>
  <c r="C19" i="4"/>
  <c r="D19" i="4"/>
  <c r="F19" i="4"/>
  <c r="F37" i="5" s="1"/>
  <c r="G19" i="4"/>
  <c r="A18" i="5"/>
  <c r="E18" i="5"/>
  <c r="G18" i="5"/>
  <c r="C23" i="5" s="1"/>
  <c r="G20" i="5"/>
  <c r="C22" i="5"/>
  <c r="D22" i="5" s="1"/>
  <c r="G22" i="5"/>
  <c r="I22" i="5"/>
  <c r="C26" i="5"/>
  <c r="L27" i="5"/>
  <c r="A32" i="5"/>
  <c r="E32" i="5"/>
  <c r="D37" i="5"/>
  <c r="AI9" i="2" l="1"/>
  <c r="AJ4" i="2"/>
  <c r="AJ5" i="2"/>
  <c r="AF7" i="2"/>
  <c r="D31" i="2"/>
  <c r="AJ6" i="2"/>
  <c r="AF8" i="2"/>
  <c r="AF9" i="2"/>
  <c r="D35" i="2"/>
  <c r="AA11" i="2"/>
  <c r="U52" i="2" s="1"/>
  <c r="F23" i="5"/>
  <c r="H22" i="2"/>
  <c r="AI5" i="2"/>
  <c r="H18" i="2"/>
  <c r="X50" i="2" s="1"/>
  <c r="Q35" i="2"/>
  <c r="W63" i="2"/>
  <c r="B37" i="5"/>
  <c r="AA12" i="2"/>
  <c r="AA13" i="2"/>
  <c r="X17" i="2"/>
  <c r="X18" i="2" s="1"/>
  <c r="B19" i="4"/>
  <c r="H38" i="5" s="1"/>
  <c r="E25" i="5"/>
  <c r="AA31" i="2"/>
  <c r="AA32" i="2" s="1"/>
  <c r="AA14" i="2"/>
  <c r="W17" i="2"/>
  <c r="D33" i="2"/>
  <c r="AA10" i="2"/>
  <c r="AJ9" i="2"/>
  <c r="P26" i="2" s="1"/>
  <c r="L29" i="5" s="1"/>
  <c r="AJ8" i="2"/>
  <c r="AJ7" i="2"/>
  <c r="AF6" i="2"/>
  <c r="AF5" i="2"/>
  <c r="AF4" i="2"/>
  <c r="H23" i="2"/>
  <c r="P22" i="2" l="1"/>
  <c r="H29" i="5" s="1"/>
  <c r="AI4" i="2"/>
  <c r="P21" i="2" s="1"/>
  <c r="H28" i="5" s="1"/>
  <c r="AI6" i="2"/>
  <c r="P23" i="2" s="1"/>
  <c r="J28" i="5" s="1"/>
  <c r="AE9" i="2"/>
  <c r="P20" i="2" s="1"/>
  <c r="F29" i="5" s="1"/>
  <c r="H21" i="2"/>
  <c r="V64" i="2"/>
  <c r="Z64" i="2" s="1"/>
  <c r="Y37" i="2" s="1"/>
  <c r="U54" i="2"/>
  <c r="AA54" i="2" s="1"/>
  <c r="D27" i="2" s="1"/>
  <c r="B21" i="5" s="1"/>
  <c r="U59" i="2"/>
  <c r="H19" i="2"/>
  <c r="X59" i="2" s="1"/>
  <c r="AE8" i="2"/>
  <c r="P19" i="2" s="1"/>
  <c r="F28" i="5" s="1"/>
  <c r="U55" i="2"/>
  <c r="AA55" i="2" s="1"/>
  <c r="U57" i="2"/>
  <c r="AE4" i="2"/>
  <c r="P15" i="2" s="1"/>
  <c r="B28" i="5" s="1"/>
  <c r="AE5" i="2"/>
  <c r="P16" i="2" s="1"/>
  <c r="B29" i="5" s="1"/>
  <c r="H17" i="2"/>
  <c r="X52" i="2" s="1"/>
  <c r="AA52" i="2" s="1"/>
  <c r="D23" i="2" s="1"/>
  <c r="B26" i="5" s="1"/>
  <c r="AA17" i="2"/>
  <c r="V63" i="2"/>
  <c r="Z63" i="2" s="1"/>
  <c r="X37" i="2" s="1"/>
  <c r="U49" i="2"/>
  <c r="AA49" i="2" s="1"/>
  <c r="D17" i="2" s="1"/>
  <c r="J24" i="5" s="1"/>
  <c r="B20" i="5" s="1"/>
  <c r="A20" i="5" s="1"/>
  <c r="U56" i="2"/>
  <c r="U50" i="2"/>
  <c r="AA50" i="2" s="1"/>
  <c r="Q36" i="2"/>
  <c r="U53" i="2"/>
  <c r="AA53" i="2" s="1"/>
  <c r="D25" i="2" s="1"/>
  <c r="B27" i="5" s="1"/>
  <c r="U58" i="2"/>
  <c r="AA58" i="2" s="1"/>
  <c r="H20" i="2"/>
  <c r="X56" i="2" s="1"/>
  <c r="X57" i="2" l="1"/>
  <c r="D19" i="2"/>
  <c r="J26" i="5" s="1"/>
  <c r="D20" i="5" s="1"/>
  <c r="C20" i="5" s="1"/>
  <c r="U51" i="2"/>
  <c r="AA51" i="2" s="1"/>
  <c r="D21" i="2" s="1"/>
  <c r="J27" i="5" s="1"/>
  <c r="E20" i="5" s="1"/>
  <c r="F20" i="5" s="1"/>
  <c r="K22" i="5" s="1"/>
  <c r="AA57" i="2"/>
  <c r="C35" i="2" s="1"/>
  <c r="B25" i="5" s="1"/>
  <c r="AA59" i="2"/>
  <c r="H27" i="2" s="1"/>
  <c r="V65" i="2"/>
  <c r="H25" i="2"/>
  <c r="AA56" i="2"/>
  <c r="C33" i="2" s="1"/>
  <c r="B24" i="5" s="1"/>
  <c r="AE6" i="2"/>
  <c r="P17" i="2" s="1"/>
  <c r="D28" i="5" s="1"/>
  <c r="AI7" i="2"/>
  <c r="P24" i="2" s="1"/>
  <c r="J29" i="5" s="1"/>
  <c r="AI8" i="2"/>
  <c r="P25" i="2" s="1"/>
  <c r="L28" i="5" s="1"/>
  <c r="W65" i="2"/>
  <c r="AE7" i="2"/>
  <c r="P18" i="2" s="1"/>
  <c r="D29" i="5" s="1"/>
  <c r="C31" i="2"/>
  <c r="B23" i="5" s="1"/>
  <c r="D4" i="3" l="1"/>
  <c r="F23" i="4"/>
  <c r="E27" i="5"/>
  <c r="E26" i="5"/>
  <c r="J4" i="3"/>
  <c r="G4" i="3"/>
  <c r="C23" i="4"/>
  <c r="F27" i="5"/>
  <c r="E21" i="5"/>
  <c r="E22" i="5"/>
  <c r="Z65" i="2"/>
  <c r="Z37" i="2" s="1"/>
  <c r="U4" i="4" l="1"/>
  <c r="J38" i="5"/>
  <c r="H5" i="4"/>
  <c r="F35" i="5" s="1"/>
  <c r="X4" i="4"/>
  <c r="G10" i="4"/>
  <c r="L38" i="5"/>
  <c r="R4" i="4"/>
</calcChain>
</file>

<file path=xl/sharedStrings.xml><?xml version="1.0" encoding="utf-8"?>
<sst xmlns="http://schemas.openxmlformats.org/spreadsheetml/2006/main" count="1817" uniqueCount="1065">
  <si>
    <t>イケメンの足が速いのは当たり前。
自身の身体を光に変えて素早く移動する。</t>
    <rPh sb="5" eb="6">
      <t>アシ</t>
    </rPh>
    <rPh sb="7" eb="8">
      <t>ハヤ</t>
    </rPh>
    <rPh sb="11" eb="12">
      <t>ア</t>
    </rPh>
    <rPh sb="14" eb="15">
      <t>マエ</t>
    </rPh>
    <rPh sb="17" eb="19">
      <t>ジシン</t>
    </rPh>
    <rPh sb="20" eb="22">
      <t>ｋａｒａｄａ</t>
    </rPh>
    <rPh sb="23" eb="24">
      <t>ヒカリ</t>
    </rPh>
    <rPh sb="25" eb="26">
      <t>カ</t>
    </rPh>
    <rPh sb="28" eb="30">
      <t>スバヤ</t>
    </rPh>
    <rPh sb="31" eb="33">
      <t>イドウ</t>
    </rPh>
    <phoneticPr fontId="53"/>
  </si>
  <si>
    <t>自身の体を光にする能力。
人間ほどの質量で光速移動すると本来ならば星ごと焼き尽くしかねないが、
能力の産物であるゆえか、光速に達する余波で破壊を振りまくことはない。</t>
    <rPh sb="0" eb="2">
      <t>ｊｉｓｉン</t>
    </rPh>
    <rPh sb="3" eb="4">
      <t>カラダ</t>
    </rPh>
    <rPh sb="5" eb="6">
      <t>ヒカリ</t>
    </rPh>
    <rPh sb="9" eb="11">
      <t>ノウリョク</t>
    </rPh>
    <rPh sb="13" eb="15">
      <t>ニンゲン</t>
    </rPh>
    <rPh sb="18" eb="20">
      <t>シツリョウ</t>
    </rPh>
    <rPh sb="21" eb="22">
      <t>ヒカリ</t>
    </rPh>
    <rPh sb="22" eb="23">
      <t>ｓｏｋｕ</t>
    </rPh>
    <rPh sb="23" eb="25">
      <t>イドウ</t>
    </rPh>
    <rPh sb="33" eb="34">
      <t>ホシ</t>
    </rPh>
    <rPh sb="36" eb="37">
      <t>ヤ</t>
    </rPh>
    <rPh sb="38" eb="39">
      <t>ツ</t>
    </rPh>
    <rPh sb="48" eb="50">
      <t>ノウリョク</t>
    </rPh>
    <rPh sb="51" eb="53">
      <t>サンブツ</t>
    </rPh>
    <rPh sb="60" eb="62">
      <t>コウソク</t>
    </rPh>
    <rPh sb="63" eb="64">
      <t>タッ</t>
    </rPh>
    <rPh sb="66" eb="68">
      <t>ヨハ</t>
    </rPh>
    <rPh sb="69" eb="71">
      <t>ハカイ</t>
    </rPh>
    <rPh sb="72" eb="73">
      <t>フ</t>
    </rPh>
    <phoneticPr fontId="53"/>
  </si>
  <si>
    <t>光り輝く身体</t>
    <rPh sb="0" eb="1">
      <t>ヒカ</t>
    </rPh>
    <rPh sb="2" eb="3">
      <t>カガヤ</t>
    </rPh>
    <rPh sb="4" eb="6">
      <t>カラダ</t>
    </rPh>
    <phoneticPr fontId="53"/>
  </si>
  <si>
    <t>イケメンの本気がすごいのは当たり前。
全身を光に変えて光速でラッシュをかける。暴走率70%以上でないと使用できない。</t>
    <rPh sb="5" eb="7">
      <t>ホンキ</t>
    </rPh>
    <rPh sb="13" eb="14">
      <t>ア</t>
    </rPh>
    <rPh sb="16" eb="17">
      <t>マエ</t>
    </rPh>
    <rPh sb="19" eb="21">
      <t>ゼンシン</t>
    </rPh>
    <rPh sb="22" eb="23">
      <t>ｋｏｕｓｏｋｕ</t>
    </rPh>
    <rPh sb="24" eb="25">
      <t>カ</t>
    </rPh>
    <rPh sb="27" eb="29">
      <t>コウソク</t>
    </rPh>
    <rPh sb="39" eb="41">
      <t>ボウソウ</t>
    </rPh>
    <rPh sb="41" eb="42">
      <t>リツ</t>
    </rPh>
    <rPh sb="45" eb="47">
      <t>イジョウ</t>
    </rPh>
    <rPh sb="51" eb="53">
      <t>シヨウ</t>
    </rPh>
    <phoneticPr fontId="53"/>
  </si>
  <si>
    <t>イケメンに弾が当たらないのは当たり前。
自身の身体を光に変えて、物理攻撃を透過させる。</t>
    <rPh sb="5" eb="6">
      <t>タマ</t>
    </rPh>
    <rPh sb="7" eb="8">
      <t>ア</t>
    </rPh>
    <rPh sb="14" eb="15">
      <t>ア</t>
    </rPh>
    <rPh sb="17" eb="18">
      <t>マエ</t>
    </rPh>
    <rPh sb="20" eb="22">
      <t>ジシン</t>
    </rPh>
    <rPh sb="23" eb="25">
      <t>カラダ</t>
    </rPh>
    <rPh sb="26" eb="27">
      <t>ヒカリ</t>
    </rPh>
    <rPh sb="28" eb="29">
      <t>カ</t>
    </rPh>
    <rPh sb="32" eb="36">
      <t>ブツリコウゲキ</t>
    </rPh>
    <rPh sb="37" eb="39">
      <t>ｔｏｕｋａ</t>
    </rPh>
    <phoneticPr fontId="53"/>
  </si>
  <si>
    <t>だから……僕自身が光り輝けるように、今日もアゲていくよ！</t>
    <rPh sb="5" eb="6">
      <t>ボク</t>
    </rPh>
    <rPh sb="6" eb="8">
      <t>ジシン</t>
    </rPh>
    <rPh sb="9" eb="10">
      <t>ヒカ</t>
    </rPh>
    <rPh sb="11" eb="12">
      <t>カガヤ</t>
    </rPh>
    <rPh sb="18" eb="20">
      <t>キョウ</t>
    </rPh>
    <phoneticPr fontId="53"/>
  </si>
  <si>
    <t>青春してるときかな！</t>
    <rPh sb="0" eb="2">
      <t>セイシュン</t>
    </rPh>
    <phoneticPr fontId="53"/>
  </si>
  <si>
    <t>やりたい事とやるべき事が一致したときって、嬉しくないかい？</t>
    <rPh sb="4" eb="5">
      <t>コト</t>
    </rPh>
    <rPh sb="10" eb="11">
      <t>コト</t>
    </rPh>
    <rPh sb="12" eb="14">
      <t>イッチ</t>
    </rPh>
    <rPh sb="21" eb="22">
      <t>ウレ</t>
    </rPh>
    <phoneticPr fontId="53"/>
  </si>
  <si>
    <t>じいちゃんに教わった、心のあり方、かな。</t>
    <rPh sb="6" eb="7">
      <t>オソ</t>
    </rPh>
    <rPh sb="11" eb="12">
      <t>ココロ</t>
    </rPh>
    <rPh sb="15" eb="16">
      <t>カタ</t>
    </rPh>
    <phoneticPr fontId="53"/>
  </si>
  <si>
    <t>僕が光り輝けるようにかな！</t>
    <rPh sb="0" eb="1">
      <t>ボク</t>
    </rPh>
    <rPh sb="2" eb="3">
      <t>ヒカ</t>
    </rPh>
    <rPh sb="4" eb="7">
      <t>カ</t>
    </rPh>
    <phoneticPr fontId="53"/>
  </si>
  <si>
    <t>ものを大事にしないのはダメだと思うんだ！</t>
    <rPh sb="3" eb="5">
      <t>ダイジ</t>
    </rPh>
    <rPh sb="15" eb="16">
      <t>オモ</t>
    </rPh>
    <phoneticPr fontId="53"/>
  </si>
  <si>
    <t>そうだね。</t>
    <phoneticPr fontId="53"/>
  </si>
  <si>
    <t>僕と一緒にこれから青春を謳歌しようぜ！</t>
  </si>
  <si>
    <t>学生だけど、銀河美少年として青春を謳歌してるよ！</t>
    <rPh sb="0" eb="2">
      <t>ガクセイ</t>
    </rPh>
    <rPh sb="6" eb="11">
      <t>ギンガ</t>
    </rPh>
    <rPh sb="14" eb="16">
      <t>セイシュン</t>
    </rPh>
    <rPh sb="17" eb="19">
      <t>オウカ</t>
    </rPh>
    <phoneticPr fontId="53"/>
  </si>
  <si>
    <t>みんなと青春を満喫したかったからかな！</t>
    <rPh sb="4" eb="6">
      <t>セイシュン</t>
    </rPh>
    <rPh sb="7" eb="9">
      <t>マンキツ</t>
    </rPh>
    <phoneticPr fontId="53"/>
  </si>
  <si>
    <t>誰かにとっての特別な誰かになれればいいなって、そう思うよ。</t>
    <rPh sb="0" eb="1">
      <t>ダレ</t>
    </rPh>
    <rPh sb="7" eb="9">
      <t>トクベツ</t>
    </rPh>
    <rPh sb="10" eb="11">
      <t>ダレ</t>
    </rPh>
    <rPh sb="25" eb="26">
      <t>オモ</t>
    </rPh>
    <phoneticPr fontId="53"/>
  </si>
  <si>
    <t>キラキラしてたのは生まれつきらしいよ！</t>
    <rPh sb="9" eb="10">
      <t>ウ</t>
    </rPh>
    <phoneticPr fontId="53"/>
  </si>
  <si>
    <t>急に体が透けるのってびっくりするよね！</t>
    <rPh sb="0" eb="1">
      <t>キュウ</t>
    </rPh>
    <rPh sb="2" eb="3">
      <t>カラダ</t>
    </rPh>
    <rPh sb="4" eb="5">
      <t>ス</t>
    </rPh>
    <phoneticPr fontId="53"/>
  </si>
  <si>
    <t>人の役に立てるように頑張るよ</t>
    <rPh sb="0" eb="1">
      <t>ヒト</t>
    </rPh>
    <rPh sb="2" eb="3">
      <t>ヤク</t>
    </rPh>
    <rPh sb="4" eb="7">
      <t>タテ</t>
    </rPh>
    <rPh sb="10" eb="12">
      <t>ガンバ</t>
    </rPh>
    <phoneticPr fontId="53"/>
  </si>
  <si>
    <t>銀河美少年だから色々やってるけど、料理するのとか好きだよ！</t>
    <rPh sb="0" eb="5">
      <t>ギンガ</t>
    </rPh>
    <rPh sb="8" eb="10">
      <t>イロイロ</t>
    </rPh>
    <rPh sb="17" eb="19">
      <t>リョウリ</t>
    </rPh>
    <rPh sb="24" eb="25">
      <t>ス</t>
    </rPh>
    <phoneticPr fontId="53"/>
  </si>
  <si>
    <t>……目標、かもしれないね。</t>
    <rPh sb="2" eb="4">
      <t>モクヒョウ</t>
    </rPh>
    <phoneticPr fontId="53"/>
  </si>
  <si>
    <t>僕自身がこの能力ぐらい光り輝けるようになってみたい……なんてね！</t>
    <rPh sb="0" eb="1">
      <t>ボク</t>
    </rPh>
    <rPh sb="1" eb="3">
      <t>ジシン</t>
    </rPh>
    <rPh sb="6" eb="8">
      <t>ノウリョク</t>
    </rPh>
    <rPh sb="11" eb="12">
      <t>ヒカ</t>
    </rPh>
    <rPh sb="13" eb="14">
      <t>カガヤ</t>
    </rPh>
    <phoneticPr fontId="53"/>
  </si>
  <si>
    <t>クソ親父はいつか一発ぶん殴る！</t>
    <rPh sb="2" eb="4">
      <t>オヤジ</t>
    </rPh>
    <rPh sb="8" eb="10">
      <t>イッパツ</t>
    </rPh>
    <rPh sb="12" eb="13">
      <t>ナグ</t>
    </rPh>
    <phoneticPr fontId="53"/>
  </si>
  <si>
    <t>一緒にいるのに、壁を作れられるのはちょっと心にクルよね……</t>
    <rPh sb="0" eb="2">
      <t>イッショ</t>
    </rPh>
    <rPh sb="8" eb="9">
      <t>カベ</t>
    </rPh>
    <rPh sb="10" eb="11">
      <t>ツク</t>
    </rPh>
    <rPh sb="21" eb="22">
      <t>ココロ</t>
    </rPh>
    <phoneticPr fontId="53"/>
  </si>
  <si>
    <t>青春！</t>
    <rPh sb="0" eb="2">
      <t>セイシュン</t>
    </rPh>
    <phoneticPr fontId="53"/>
  </si>
  <si>
    <t>この島の生まれだよ！</t>
    <rPh sb="2" eb="3">
      <t>シマ</t>
    </rPh>
    <rPh sb="4" eb="5">
      <t>ウ</t>
    </rPh>
    <phoneticPr fontId="53"/>
  </si>
  <si>
    <t>じいちゃんに育ててもらったかな。</t>
    <rPh sb="6" eb="7">
      <t>ソダ</t>
    </rPh>
    <phoneticPr fontId="53"/>
  </si>
  <si>
    <t>財布</t>
    <rPh sb="0" eb="2">
      <t>サイフ</t>
    </rPh>
    <phoneticPr fontId="53"/>
  </si>
  <si>
    <t>選ばれなかった者</t>
    <rPh sb="0" eb="1">
      <t>エラ</t>
    </rPh>
    <rPh sb="7" eb="8">
      <t>モノ</t>
    </rPh>
    <phoneticPr fontId="53"/>
  </si>
  <si>
    <t>イケメン</t>
    <phoneticPr fontId="53"/>
  </si>
  <si>
    <t>ともに青春を謳歌しようぜ！</t>
    <rPh sb="3" eb="6">
      <t>セイシュン</t>
    </rPh>
    <rPh sb="6" eb="8">
      <t>オウカ</t>
    </rPh>
    <phoneticPr fontId="53"/>
  </si>
  <si>
    <t>※ただしイケメンに限る</t>
    <rPh sb="9" eb="10">
      <t>カギ</t>
    </rPh>
    <phoneticPr fontId="53"/>
  </si>
  <si>
    <t>イケメンの手が早いのは当たり前。
光速移動による擬似分身。疲れるので何度も使うことはできない。</t>
    <rPh sb="5" eb="6">
      <t>テ</t>
    </rPh>
    <rPh sb="7" eb="8">
      <t>ハヤ</t>
    </rPh>
    <rPh sb="11" eb="12">
      <t>ア</t>
    </rPh>
    <rPh sb="14" eb="15">
      <t>マエ</t>
    </rPh>
    <rPh sb="17" eb="19">
      <t>コウソク</t>
    </rPh>
    <rPh sb="19" eb="21">
      <t>イドウ</t>
    </rPh>
    <rPh sb="24" eb="28">
      <t>ギジブンシン</t>
    </rPh>
    <rPh sb="29" eb="30">
      <t>ツカ</t>
    </rPh>
    <rPh sb="34" eb="36">
      <t>ナンド</t>
    </rPh>
    <rPh sb="37" eb="38">
      <t>ツカ</t>
    </rPh>
    <phoneticPr fontId="53"/>
  </si>
  <si>
    <t>イケメンが色んな顔を見せるのは当たり前。
光を拡散させて攻撃を当てやすくする。</t>
    <rPh sb="5" eb="6">
      <t>イロ</t>
    </rPh>
    <rPh sb="8" eb="9">
      <t>カオ</t>
    </rPh>
    <rPh sb="10" eb="11">
      <t>ミ</t>
    </rPh>
    <rPh sb="15" eb="16">
      <t>ア</t>
    </rPh>
    <rPh sb="18" eb="19">
      <t>マエ</t>
    </rPh>
    <rPh sb="21" eb="22">
      <t>ヒカリ</t>
    </rPh>
    <rPh sb="23" eb="25">
      <t>カクサン</t>
    </rPh>
    <rPh sb="28" eb="30">
      <t>コウゲキ</t>
    </rPh>
    <rPh sb="31" eb="32">
      <t>ア</t>
    </rPh>
    <phoneticPr fontId="53"/>
  </si>
  <si>
    <t>銀河美少年に贈られるスーツ。
着ているとよりイケメンに見える。</t>
    <rPh sb="0" eb="5">
      <t>ギンガビ</t>
    </rPh>
    <rPh sb="6" eb="7">
      <t>ｏｋｕｒｕ</t>
    </rPh>
    <rPh sb="15" eb="16">
      <t>キ</t>
    </rPh>
    <rPh sb="27" eb="28">
      <t>ミ</t>
    </rPh>
    <phoneticPr fontId="53"/>
  </si>
  <si>
    <t>……幼馴染の女の子に、恋してたことかな。その子には許婚もいたし、振り向いてはもらえなかったけどね。</t>
    <rPh sb="2" eb="5">
      <t>オサナナジミ</t>
    </rPh>
    <rPh sb="6" eb="7">
      <t>オンナ</t>
    </rPh>
    <rPh sb="8" eb="9">
      <t>コ</t>
    </rPh>
    <rPh sb="11" eb="12">
      <t>コイ</t>
    </rPh>
    <rPh sb="22" eb="23">
      <t>コ</t>
    </rPh>
    <rPh sb="25" eb="27">
      <t>イイナヅケ</t>
    </rPh>
    <rPh sb="32" eb="33">
      <t>フ</t>
    </rPh>
    <rPh sb="34" eb="37">
      <t>ムイテｈ</t>
    </rPh>
    <phoneticPr fontId="53"/>
  </si>
  <si>
    <t>178cm</t>
    <phoneticPr fontId="53"/>
  </si>
  <si>
    <t>[03]　あなたのお仕事は？</t>
  </si>
  <si>
    <t>[04]　どうしてそのお仕事をしようと思ったの？</t>
  </si>
  <si>
    <t>[05]　あなたの将来の夢って？</t>
  </si>
  <si>
    <t>[06-a]　あなたはいつ、何故その能力を手に入れたの？</t>
  </si>
  <si>
    <t>[07-a]　初めてその能力に気付いた時、どう思った？</t>
  </si>
  <si>
    <t>[08-a]　今後、その能力を使ってどうしようと思ってるの？</t>
  </si>
  <si>
    <t>[09-a]　なんで自分にその能力が発現したと思う？</t>
  </si>
  <si>
    <t>[10-a]　あなたにとって、その能力はなに？</t>
  </si>
  <si>
    <t>[11]　趣味とかあるなら教えてほしいな。</t>
  </si>
  <si>
    <t>[12]　好きなものはなに？</t>
  </si>
  <si>
    <t>①＋②</t>
  </si>
  <si>
    <t>ライフパス</t>
  </si>
  <si>
    <t>『颯爽登場！ 銀河美少年！』</t>
    <rPh sb="1" eb="5">
      <t>サッソウトウジョウ</t>
    </rPh>
    <rPh sb="7" eb="12">
      <t>ギンｇ</t>
    </rPh>
    <phoneticPr fontId="53"/>
  </si>
  <si>
    <t>携帯電話</t>
    <rPh sb="0" eb="2">
      <t>ケイタイ</t>
    </rPh>
    <rPh sb="2" eb="4">
      <t>デンワ</t>
    </rPh>
    <phoneticPr fontId="53"/>
  </si>
  <si>
    <t>綺羅星スーツ</t>
    <rPh sb="0" eb="3">
      <t>キラボシ</t>
    </rPh>
    <phoneticPr fontId="53"/>
  </si>
  <si>
    <t>ー</t>
    <phoneticPr fontId="53"/>
  </si>
  <si>
    <t>銀河美少年</t>
    <rPh sb="0" eb="5">
      <t>ギンガビ</t>
    </rPh>
    <phoneticPr fontId="53"/>
  </si>
  <si>
    <t>※この行には具体的な効果やチェイン発動の組合せをお書き下さい。</t>
  </si>
  <si>
    <t>クリーチャー名</t>
  </si>
  <si>
    <t>創造タイプ</t>
  </si>
  <si>
    <t>使用PP</t>
  </si>
  <si>
    <t>クリーチャー判定値</t>
  </si>
  <si>
    <t>クリーチャー能力タイプ</t>
  </si>
  <si>
    <t>取得探索技能</t>
  </si>
  <si>
    <t>クリーチャーイメージ</t>
  </si>
  <si>
    <t>変動値</t>
  </si>
  <si>
    <t>取得可能数</t>
  </si>
  <si>
    <t>ダメージボーナス</t>
  </si>
  <si>
    <t>命中回避ダイス</t>
  </si>
  <si>
    <t>探索判定ダイス</t>
  </si>
  <si>
    <t>クリーチャー説明</t>
  </si>
  <si>
    <t>●補正部分は【　活性タイプ　】を選択したら、暴走率によって自動反映します。</t>
  </si>
  <si>
    <t>●ＳＳ・命中・回避の入力は【　2桁以上の数字　】を入力する事で自動変換の入力補助になってます。</t>
  </si>
  <si>
    <t>イケメンアクション</t>
    <phoneticPr fontId="53"/>
  </si>
  <si>
    <t>学生</t>
    <rPh sb="0" eb="2">
      <t>ガクセイ</t>
    </rPh>
    <phoneticPr fontId="53"/>
  </si>
  <si>
    <t>回避+8</t>
    <rPh sb="0" eb="2">
      <t>カイヒ</t>
    </rPh>
    <phoneticPr fontId="53"/>
  </si>
  <si>
    <t>命中+8</t>
    <rPh sb="0" eb="2">
      <t>メイチュウ</t>
    </rPh>
    <phoneticPr fontId="53"/>
  </si>
  <si>
    <t>イケメンプリズム</t>
    <phoneticPr fontId="53"/>
  </si>
  <si>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</si>
  <si>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</si>
  <si>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</si>
  <si>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</si>
  <si>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</si>
  <si>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</si>
  <si>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</si>
  <si>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</si>
  <si>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</si>
  <si>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</si>
  <si>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</si>
  <si>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</si>
  <si>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</si>
  <si>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</si>
  <si>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</si>
  <si>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</si>
  <si>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</si>
  <si>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</si>
  <si>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</si>
  <si>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</si>
  <si>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</si>
  <si>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</si>
  <si>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</si>
  <si>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</si>
  <si>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</si>
  <si>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</si>
  <si>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</si>
  <si>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</si>
  <si>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</si>
  <si>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</si>
  <si>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</si>
  <si>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</si>
  <si>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</si>
  <si>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</si>
  <si>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</si>
  <si>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</si>
  <si>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</si>
  <si>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</si>
  <si>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[13]　嫌いなものも教えて！</t>
  </si>
  <si>
    <t>[14]　誰にも言えない秘密とか、ある？</t>
  </si>
  <si>
    <t>[15]　あなたの大切なものって、何？</t>
  </si>
  <si>
    <t>[16]　あなたが喜ぶとすれば、それは何故？</t>
  </si>
  <si>
    <t>[17]　あなたが怒るとすれば、それは何故？</t>
  </si>
  <si>
    <t>[18]　あなたが悲しむとすれば、それは何故？</t>
  </si>
  <si>
    <t>[19]　あなたが楽しいとすれば、それは何故？</t>
  </si>
  <si>
    <t>[20]　回答おつかれさま。何か一言！</t>
  </si>
  <si>
    <t>卓名</t>
  </si>
  <si>
    <t>受賞</t>
  </si>
  <si>
    <t>取得カルマ</t>
  </si>
  <si>
    <t>中立にして善</t>
  </si>
  <si>
    <t>イケメンビーム</t>
    <phoneticPr fontId="53"/>
  </si>
  <si>
    <t>イケメンダッシュ</t>
    <phoneticPr fontId="53"/>
  </si>
  <si>
    <t>光るからイケメンなのか、イケメンだから光るのか
光にした身体からビームを放つ。</t>
    <rPh sb="0" eb="1">
      <t>ヒカ</t>
    </rPh>
    <rPh sb="19" eb="20">
      <t>ヒカ</t>
    </rPh>
    <rPh sb="24" eb="25">
      <t>ヒカリ</t>
    </rPh>
    <rPh sb="28" eb="30">
      <t>ｋａｒａｄａ</t>
    </rPh>
    <rPh sb="36" eb="37">
      <t>ハナ</t>
    </rPh>
    <phoneticPr fontId="53"/>
  </si>
  <si>
    <t>アプリポワゼ</t>
    <phoneticPr fontId="53"/>
  </si>
  <si>
    <t>遠近両用</t>
  </si>
  <si>
    <t>１５～１７</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</si>
  <si>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</si>
  <si>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</si>
  <si>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</si>
  <si>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</si>
  <si>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</si>
  <si>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</si>
  <si>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</si>
  <si>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</si>
  <si>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</si>
  <si>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</si>
  <si>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</si>
  <si>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</si>
  <si>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</si>
  <si>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</si>
  <si>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</si>
  <si>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</si>
  <si>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</si>
  <si>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</si>
  <si>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</si>
  <si>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</si>
  <si>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</si>
  <si>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</si>
  <si>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【カルマ】
演技派</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</si>
  <si>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</si>
  <si>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</si>
  <si>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</si>
  <si>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</si>
  <si>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</si>
  <si>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</si>
  <si>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</si>
  <si>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</si>
  <si>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</si>
  <si>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</si>
  <si>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</si>
  <si>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</si>
  <si>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</si>
  <si>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</si>
  <si>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</si>
  <si>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</si>
  <si>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</si>
  <si>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</si>
  <si>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</si>
  <si>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</si>
  <si>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</si>
  <si>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</si>
  <si>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</si>
  <si>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射程</t>
  </si>
  <si>
    <t>消費</t>
  </si>
  <si>
    <t>必要スペック</t>
  </si>
  <si>
    <t>演出</t>
  </si>
  <si>
    <t>効果補足</t>
  </si>
  <si>
    <t>※この行には具体的な補正量やトリガー条件などをお書き下さい。</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</si>
  <si>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</si>
  <si>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</si>
  <si>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</si>
  <si>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</si>
  <si>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</si>
  <si>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</si>
  <si>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</si>
  <si>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</si>
  <si>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</si>
  <si>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</si>
  <si>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</si>
  <si>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</si>
  <si>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</si>
  <si>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</si>
  <si>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</si>
  <si>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</si>
  <si>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</si>
  <si>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</si>
  <si>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</si>
  <si>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</si>
  <si>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</si>
  <si>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</si>
  <si>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</si>
  <si>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</si>
  <si>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</si>
  <si>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</si>
  <si>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</si>
  <si>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</si>
  <si>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</si>
  <si>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</si>
  <si>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</si>
  <si>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</si>
  <si>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</si>
  <si>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</si>
  <si>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</si>
  <si>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</si>
  <si>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</si>
  <si>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</si>
  <si>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</si>
  <si>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</si>
  <si>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</si>
  <si>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</si>
  <si>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</si>
  <si>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次回持ち越し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</si>
  <si>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</si>
  <si>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</si>
  <si>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</si>
  <si>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</si>
  <si>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</si>
  <si>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</si>
  <si>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</si>
  <si>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</si>
  <si>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</si>
  <si>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</si>
  <si>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</si>
  <si>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</si>
  <si>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</si>
  <si>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</si>
  <si>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</si>
  <si>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</si>
  <si>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</si>
  <si>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</si>
  <si>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</si>
  <si>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</si>
  <si>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</si>
  <si>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</si>
  <si>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</si>
  <si>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取得技能</t>
  </si>
  <si>
    <t>判定値</t>
  </si>
  <si>
    <t>　夢を見ている。</t>
  </si>
  <si>
    <t>　透き通った海の中を漂うような、奇妙な浮遊感の中。あなたの脳内に、幼い子供の声が響くのだ。</t>
  </si>
  <si>
    <t>「あなたの事、知りたいな」</t>
  </si>
  <si>
    <t>　――あなたは、この質問に答えなければならない。</t>
  </si>
  <si>
    <t>　嘘をつくかどうかは自由だ。だが本当の事を言っても不都合はない。ただ思うままに、答えていくといい。</t>
  </si>
  <si>
    <t>[01]　あなたはどこで生まれたの？</t>
  </si>
  <si>
    <t>[02]　あなたはどうやって育ったの？</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</si>
  <si>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</si>
  <si>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</si>
  <si>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</si>
  <si>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</si>
  <si>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</si>
  <si>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</si>
  <si>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</si>
  <si>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</si>
  <si>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</si>
  <si>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</si>
  <si>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</si>
  <si>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</si>
  <si>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</si>
  <si>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</si>
  <si>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</si>
  <si>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</si>
  <si>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</si>
  <si>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</si>
  <si>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</si>
  <si>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</si>
  <si>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</si>
  <si>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</si>
  <si>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</si>
  <si>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</si>
  <si>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【カルマ】
修羅</t>
  </si>
  <si>
    <t>筋力</t>
  </si>
  <si>
    <t>スタンス</t>
  </si>
  <si>
    <t>耐久</t>
  </si>
  <si>
    <t>トゥルー</t>
  </si>
  <si>
    <t>知力</t>
  </si>
  <si>
    <t>パラメーター基準値</t>
  </si>
  <si>
    <t>キャライメージ</t>
  </si>
  <si>
    <t>エキスパ</t>
  </si>
  <si>
    <t>-</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</si>
  <si>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</si>
  <si>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</si>
  <si>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</si>
  <si>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</si>
  <si>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</si>
  <si>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</si>
  <si>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</si>
  <si>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</si>
  <si>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</si>
  <si>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</si>
  <si>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</si>
  <si>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</si>
  <si>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</si>
  <si>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</si>
  <si>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</si>
  <si>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</si>
  <si>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</si>
  <si>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</si>
  <si>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</si>
  <si>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</si>
  <si>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</si>
  <si>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</si>
  <si>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</si>
  <si>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</si>
  <si>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</si>
  <si>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</si>
  <si>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</si>
  <si>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</si>
  <si>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</si>
  <si>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</si>
  <si>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</si>
  <si>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</si>
  <si>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</si>
  <si>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</si>
  <si>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</si>
  <si>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</si>
  <si>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</si>
  <si>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</si>
  <si>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</si>
  <si>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</si>
  <si>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</si>
  <si>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</si>
  <si>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</si>
  <si>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</si>
  <si>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</si>
  <si>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</si>
  <si>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</si>
  <si>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</si>
  <si>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</si>
  <si>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</si>
  <si>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</si>
  <si>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</si>
  <si>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</si>
  <si>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</si>
  <si>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</si>
  <si>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</si>
  <si>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</si>
  <si>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</si>
  <si>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</si>
  <si>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</si>
  <si>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</si>
  <si>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アライメント</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</si>
  <si>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</si>
  <si>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</si>
  <si>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</si>
  <si>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</si>
  <si>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</si>
  <si>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</si>
  <si>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</si>
  <si>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</si>
  <si>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</si>
  <si>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</si>
  <si>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</si>
  <si>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</si>
  <si>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</si>
  <si>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</si>
  <si>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</si>
  <si>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</si>
  <si>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</si>
  <si>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</si>
  <si>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</si>
  <si>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</si>
  <si>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</si>
  <si>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</si>
  <si>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</si>
  <si>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</si>
  <si>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</si>
  <si>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</si>
  <si>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</si>
  <si>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</si>
  <si>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</si>
  <si>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</si>
  <si>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</si>
  <si>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</si>
  <si>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</si>
  <si>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</si>
  <si>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</si>
  <si>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</si>
  <si>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</si>
  <si>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</si>
  <si>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</si>
  <si>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</si>
  <si>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</si>
  <si>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</si>
  <si>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</si>
  <si>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</si>
  <si>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</si>
  <si>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</si>
  <si>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</si>
  <si>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</si>
  <si>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</si>
  <si>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</si>
  <si>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</si>
  <si>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</si>
  <si>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</si>
  <si>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</si>
  <si>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</si>
  <si>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</si>
  <si>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</si>
  <si>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</si>
  <si>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</si>
  <si>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</si>
  <si>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</si>
  <si>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</si>
  <si>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</si>
  <si>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</si>
  <si>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</si>
  <si>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</si>
  <si>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</si>
  <si>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</si>
  <si>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</si>
  <si>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</si>
  <si>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</si>
  <si>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</si>
  <si>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</si>
  <si>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</si>
  <si>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</si>
  <si>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</si>
  <si>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</si>
  <si>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</si>
  <si>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</si>
  <si>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</si>
  <si>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</si>
  <si>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</si>
  <si>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</si>
  <si>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</si>
  <si>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</si>
  <si>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</si>
  <si>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</si>
  <si>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</si>
  <si>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</si>
  <si>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</si>
  <si>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</si>
  <si>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</si>
  <si>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</si>
  <si>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</si>
  <si>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</si>
  <si>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</si>
  <si>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</si>
  <si>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</si>
  <si>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</si>
  <si>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</si>
  <si>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</si>
  <si>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</si>
  <si>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</si>
  <si>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</si>
  <si>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</si>
  <si>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</si>
  <si>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</si>
  <si>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</si>
  <si>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</si>
  <si>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</si>
  <si>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</si>
  <si>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</si>
  <si>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</si>
  <si>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</si>
  <si>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</si>
  <si>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</si>
  <si>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</si>
  <si>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</si>
  <si>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</si>
  <si>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</si>
  <si>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</si>
  <si>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</si>
  <si>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</si>
  <si>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</si>
  <si>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</si>
  <si>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</si>
  <si>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</si>
  <si>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</si>
  <si>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</si>
  <si>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</si>
  <si>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</si>
  <si>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</si>
  <si>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</si>
  <si>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</si>
  <si>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</si>
  <si>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</si>
  <si>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</si>
  <si>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</si>
  <si>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</si>
  <si>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</si>
  <si>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</si>
  <si>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</si>
  <si>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</si>
  <si>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</si>
  <si>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</si>
  <si>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</si>
  <si>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</si>
  <si>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</si>
  <si>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</si>
  <si>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</si>
  <si>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</si>
  <si>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</si>
  <si>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</si>
  <si>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</si>
  <si>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</si>
  <si>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</si>
  <si>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</si>
  <si>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</si>
  <si>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</si>
  <si>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</si>
  <si>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</si>
  <si>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</si>
  <si>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</si>
  <si>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</si>
  <si>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</si>
  <si>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</si>
  <si>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</si>
  <si>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</si>
  <si>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</si>
  <si>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</si>
  <si>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</si>
  <si>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</si>
  <si>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</si>
  <si>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</si>
  <si>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</si>
  <si>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</si>
  <si>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</si>
  <si>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</si>
  <si>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</si>
  <si>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</si>
  <si>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</si>
  <si>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</si>
  <si>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</si>
  <si>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</si>
  <si>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</si>
  <si>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</si>
  <si>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</si>
  <si>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</si>
  <si>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</si>
  <si>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</si>
  <si>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</si>
  <si>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</si>
  <si>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</si>
  <si>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</si>
  <si>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</si>
  <si>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</si>
  <si>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</si>
  <si>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</si>
  <si>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</si>
  <si>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</si>
  <si>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</si>
  <si>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</si>
  <si>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</si>
  <si>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</si>
  <si>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</si>
  <si>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</si>
  <si>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</si>
  <si>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</si>
  <si>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</si>
  <si>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</si>
  <si>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</si>
  <si>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</si>
  <si>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</si>
  <si>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</si>
  <si>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</si>
  <si>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</si>
  <si>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</si>
  <si>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</si>
  <si>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</si>
  <si>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</si>
  <si>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</si>
  <si>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</si>
  <si>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</si>
  <si>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</si>
  <si>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</si>
  <si>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</si>
  <si>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</si>
  <si>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</si>
  <si>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</si>
  <si>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</si>
  <si>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</si>
  <si>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</si>
  <si>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</si>
  <si>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</si>
  <si>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</si>
  <si>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</si>
  <si>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</si>
  <si>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</si>
  <si>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</si>
  <si>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</si>
  <si>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</si>
  <si>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</si>
  <si>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</si>
  <si>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</si>
  <si>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</si>
  <si>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</si>
  <si>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</si>
  <si>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</si>
  <si>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</si>
  <si>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</si>
  <si>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</si>
  <si>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</si>
  <si>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</si>
  <si>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</si>
  <si>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</si>
  <si>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</si>
  <si>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</si>
  <si>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</si>
  <si>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</si>
  <si>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</si>
  <si>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</si>
  <si>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</si>
  <si>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</si>
  <si>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</si>
  <si>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</si>
  <si>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</si>
  <si>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</si>
  <si>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</si>
  <si>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</si>
  <si>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</si>
  <si>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</si>
  <si>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</si>
  <si>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</si>
  <si>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</si>
  <si>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</si>
  <si>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</si>
  <si>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</si>
  <si>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</si>
  <si>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</si>
  <si>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</si>
  <si>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</si>
  <si>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</si>
  <si>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</si>
  <si>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</si>
  <si>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</si>
  <si>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</si>
  <si>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</si>
  <si>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</si>
  <si>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</si>
  <si>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</si>
  <si>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</si>
  <si>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</si>
  <si>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</si>
  <si>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</si>
  <si>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</si>
  <si>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</si>
  <si>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</si>
  <si>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</si>
  <si>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</si>
  <si>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</si>
  <si>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</si>
  <si>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</si>
  <si>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</si>
  <si>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</si>
  <si>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</si>
  <si>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</si>
  <si>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</si>
  <si>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</si>
  <si>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</si>
  <si>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</si>
  <si>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</si>
  <si>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</si>
  <si>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</si>
  <si>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</si>
  <si>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</si>
  <si>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</si>
  <si>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</si>
  <si>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</si>
  <si>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</si>
  <si>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</si>
  <si>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</si>
  <si>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</si>
  <si>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</si>
  <si>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</si>
  <si>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</si>
  <si>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</si>
  <si>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</si>
  <si>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</si>
  <si>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</si>
  <si>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</si>
  <si>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</si>
  <si>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</si>
  <si>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</si>
  <si>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</si>
  <si>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</si>
  <si>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</si>
  <si>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</si>
  <si>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</si>
  <si>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</si>
  <si>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</si>
  <si>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</si>
  <si>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</si>
  <si>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</si>
  <si>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</si>
  <si>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</si>
  <si>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</si>
  <si>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</si>
  <si>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</si>
  <si>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</si>
  <si>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</si>
  <si>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</si>
  <si>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</si>
  <si>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</si>
  <si>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</si>
  <si>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</si>
  <si>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</si>
  <si>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</si>
  <si>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</si>
  <si>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</si>
  <si>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</si>
  <si>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</si>
  <si>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</si>
  <si>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</si>
  <si>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</si>
  <si>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</si>
  <si>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</si>
  <si>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</si>
  <si>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</si>
  <si>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</si>
  <si>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</si>
  <si>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</si>
  <si>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</si>
  <si>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</si>
  <si>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</si>
  <si>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</si>
  <si>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</si>
  <si>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</si>
  <si>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</si>
  <si>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</si>
  <si>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</si>
  <si>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</si>
  <si>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</si>
  <si>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</si>
  <si>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</si>
  <si>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</si>
  <si>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</si>
  <si>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</si>
  <si>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</si>
  <si>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</si>
  <si>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</si>
  <si>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</si>
  <si>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</si>
  <si>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</si>
  <si>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</si>
  <si>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</si>
  <si>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</si>
  <si>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</si>
  <si>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</si>
  <si>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</si>
  <si>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</si>
  <si>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</si>
  <si>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</si>
  <si>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</si>
  <si>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</si>
  <si>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</si>
  <si>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</si>
  <si>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</si>
  <si>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</si>
  <si>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</si>
  <si>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</si>
  <si>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</si>
  <si>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</si>
  <si>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</si>
  <si>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</si>
  <si>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</si>
  <si>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</si>
  <si>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</si>
  <si>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</si>
  <si>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</si>
  <si>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</si>
  <si>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</si>
  <si>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</si>
  <si>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</si>
  <si>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</si>
  <si>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【カルマ】
駆け出し</t>
  </si>
  <si>
    <t>防御</t>
  </si>
  <si>
    <t>移動</t>
  </si>
  <si>
    <t>制止</t>
  </si>
  <si>
    <t>高感度センサー【スペック－1】</t>
  </si>
  <si>
    <t>犯罪</t>
  </si>
  <si>
    <t>自由</t>
  </si>
  <si>
    <t>不死身【アンデッド】</t>
  </si>
  <si>
    <t>不死身
【アンデッド】</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</si>
  <si>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</si>
  <si>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</si>
  <si>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</si>
  <si>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</si>
  <si>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</si>
  <si>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</si>
  <si>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</si>
  <si>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</si>
  <si>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</si>
  <si>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</si>
  <si>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</si>
  <si>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</si>
  <si>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</si>
  <si>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</si>
  <si>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rPr>
      <t>1</t>
    </r>
    <r>
      <rPr>
        <sz val="10"/>
        <rFont val="ＭＳ Ｐゴシック"/>
        <family val="3"/>
        <charset val="128"/>
      </rPr>
      <t>】</t>
    </r>
  </si>
  <si>
    <t>宗教</t>
  </si>
  <si>
    <t>目立ちたがり</t>
  </si>
  <si>
    <t>闇商人【ディーラー】</t>
  </si>
  <si>
    <t>闇商人
【ディーラー】</t>
  </si>
  <si>
    <t>【カルマ】
失敗談</t>
  </si>
  <si>
    <t>創造</t>
  </si>
  <si>
    <t>参戦</t>
  </si>
  <si>
    <r>
      <t>光学迷彩【スペック－</t>
    </r>
    <r>
      <rPr>
        <sz val="10"/>
        <rFont val="Arial"/>
        <family val="2"/>
      </rPr>
      <t>1</t>
    </r>
    <r>
      <rPr>
        <sz val="10"/>
        <rFont val="ＭＳ Ｐゴシック"/>
        <family val="3"/>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</si>
  <si>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</si>
  <si>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</si>
  <si>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</si>
  <si>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</si>
  <si>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</si>
  <si>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</si>
  <si>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</si>
  <si>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</si>
  <si>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</si>
  <si>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rPr>
      <t>1</t>
    </r>
    <r>
      <rPr>
        <sz val="10"/>
        <rFont val="ＭＳ Ｐゴシック"/>
        <family val="3"/>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</si>
  <si>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</si>
  <si>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</si>
  <si>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</si>
  <si>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</si>
  <si>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</si>
  <si>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</si>
  <si>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</si>
  <si>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</si>
  <si>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</si>
  <si>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</si>
  <si>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</si>
  <si>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</si>
  <si>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</si>
  <si>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</si>
  <si>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</si>
  <si>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</si>
  <si>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</si>
  <si>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</si>
  <si>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</si>
  <si>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</si>
  <si>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</si>
  <si>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</si>
  <si>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</si>
  <si>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</si>
  <si>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</si>
  <si>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</si>
  <si>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</si>
  <si>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</si>
  <si>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</si>
  <si>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</si>
  <si>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</si>
  <si>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</si>
  <si>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</si>
  <si>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</si>
  <si>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</si>
  <si>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</si>
  <si>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</si>
  <si>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</si>
  <si>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</si>
  <si>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</si>
  <si>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</si>
  <si>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</si>
  <si>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チヒロ</t>
    <phoneticPr fontId="53"/>
  </si>
  <si>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</si>
  <si>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</si>
  <si>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</si>
  <si>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</si>
  <si>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</si>
  <si>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</si>
  <si>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</si>
  <si>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</si>
  <si>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</si>
  <si>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</si>
  <si>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</si>
  <si>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</si>
  <si>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</si>
  <si>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</si>
  <si>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</si>
  <si>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</si>
  <si>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</si>
  <si>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</si>
  <si>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</si>
  <si>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</si>
  <si>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</si>
  <si>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</si>
  <si>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</si>
  <si>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ドリル【スペック－３】</t>
  </si>
  <si>
    <t>復讐</t>
  </si>
  <si>
    <t>友情</t>
  </si>
  <si>
    <t>崩壊者【ディケイド】</t>
  </si>
  <si>
    <t>崩壊者
【ディケイド】</t>
  </si>
  <si>
    <t>パンドラ　【因子１】</t>
  </si>
  <si>
    <t>【ＳＰＥ】
逆転</t>
  </si>
  <si>
    <t>活性</t>
  </si>
  <si>
    <t>不屈</t>
  </si>
  <si>
    <t>減衰【行】</t>
  </si>
  <si>
    <t>リスク</t>
  </si>
  <si>
    <t>中</t>
  </si>
  <si>
    <t>命中パーフェクト　威力5d6+8</t>
    <rPh sb="0" eb="2">
      <t>メイチュウ</t>
    </rPh>
    <rPh sb="9" eb="11">
      <t>イリョク</t>
    </rPh>
    <phoneticPr fontId="53"/>
  </si>
  <si>
    <t>命中：14+1d6 威力：5d6</t>
    <rPh sb="0" eb="2">
      <t>メイチュウ</t>
    </rPh>
    <rPh sb="10" eb="12">
      <t>イリョク</t>
    </rPh>
    <phoneticPr fontId="53"/>
  </si>
  <si>
    <t>男</t>
    <rPh sb="0" eb="1">
      <t>オトコ</t>
    </rPh>
    <phoneticPr fontId="53"/>
  </si>
  <si>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</si>
  <si>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</si>
  <si>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</si>
  <si>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</si>
  <si>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</si>
  <si>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</si>
  <si>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</si>
  <si>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</si>
  <si>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</si>
  <si>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</si>
  <si>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</si>
  <si>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</si>
  <si>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</si>
  <si>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</si>
  <si>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</si>
  <si>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</si>
  <si>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</si>
  <si>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</si>
  <si>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</si>
  <si>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</si>
  <si>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</si>
  <si>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</si>
  <si>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</si>
  <si>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</si>
  <si>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</si>
  <si>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</si>
  <si>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</si>
  <si>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</si>
  <si>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</si>
  <si>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</si>
  <si>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</si>
  <si>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</si>
  <si>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</si>
  <si>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</si>
  <si>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</si>
  <si>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</si>
  <si>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</si>
  <si>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</si>
  <si>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</si>
  <si>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</si>
  <si>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</si>
  <si>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</si>
  <si>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</si>
  <si>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</si>
  <si>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</si>
  <si>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</si>
  <si>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</si>
  <si>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</si>
  <si>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</si>
  <si>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</si>
  <si>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</si>
  <si>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</si>
  <si>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</si>
  <si>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</si>
  <si>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</si>
  <si>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</si>
  <si>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</si>
  <si>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</si>
  <si>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</si>
  <si>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</si>
  <si>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</si>
  <si>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</si>
  <si>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</si>
  <si>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</si>
  <si>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</si>
  <si>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</si>
  <si>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</si>
  <si>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</si>
  <si>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</si>
  <si>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</si>
  <si>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</si>
  <si>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</si>
  <si>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</si>
  <si>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ヒイラギ・タクト</t>
    <phoneticPr fontId="53"/>
  </si>
  <si>
    <t>威力+4</t>
    <rPh sb="0" eb="2">
      <t>イリョク</t>
    </rPh>
    <phoneticPr fontId="53"/>
  </si>
  <si>
    <t>イケメンの心の中に秘めるものが熱いのは当たり前。
身体の光を増幅して威力を高める。</t>
    <rPh sb="5" eb="6">
      <t>ココロ</t>
    </rPh>
    <rPh sb="7" eb="8">
      <t>ナカ</t>
    </rPh>
    <rPh sb="9" eb="10">
      <t>ヒ</t>
    </rPh>
    <rPh sb="15" eb="16">
      <t>アツ</t>
    </rPh>
    <rPh sb="19" eb="20">
      <t>ア</t>
    </rPh>
    <rPh sb="22" eb="23">
      <t>マエ</t>
    </rPh>
    <rPh sb="25" eb="27">
      <t>ｋａｒａｄａ</t>
    </rPh>
    <rPh sb="28" eb="29">
      <t>ヒカリ</t>
    </rPh>
    <rPh sb="30" eb="32">
      <t>ゾウフク</t>
    </rPh>
    <rPh sb="34" eb="36">
      <t>イリョク</t>
    </rPh>
    <rPh sb="37" eb="38">
      <t>タカ</t>
    </rPh>
    <phoneticPr fontId="53"/>
  </si>
  <si>
    <t>イケメンチェリッシュ</t>
    <phoneticPr fontId="53"/>
  </si>
  <si>
    <t>爽やか青春イケメン。銀河美少年の一人。
この銀河美少年は委員会の一種であり、学内の人間とともに青春を満喫するためにバンド活動からアウトドアスポーツ、治安維持にインドアな活動まで幅広く手を出している。
端麗な容姿、強力な異能、要領よくこなすセンス、と天に選ばれたような資質を持つ一方、
家族や幼馴染など、人に"選ばれなかった"ことにコンプレックスを抱いており、代えのきかない何かになりたがっている。</t>
    <rPh sb="0" eb="1">
      <t>サワ</t>
    </rPh>
    <rPh sb="3" eb="5">
      <t>セイシュン</t>
    </rPh>
    <rPh sb="10" eb="15">
      <t>ギンガ</t>
    </rPh>
    <rPh sb="16" eb="18">
      <t>ヒトリ</t>
    </rPh>
    <rPh sb="22" eb="27">
      <t>ギンガビ</t>
    </rPh>
    <rPh sb="28" eb="31">
      <t>イインカイ</t>
    </rPh>
    <rPh sb="32" eb="34">
      <t>イッシュ</t>
    </rPh>
    <rPh sb="38" eb="40">
      <t>ガクナイ</t>
    </rPh>
    <rPh sb="41" eb="43">
      <t>ニンゲン</t>
    </rPh>
    <rPh sb="47" eb="50">
      <t>セイｓ</t>
    </rPh>
    <rPh sb="50" eb="52">
      <t>マンキツ</t>
    </rPh>
    <rPh sb="60" eb="62">
      <t>カツドウ</t>
    </rPh>
    <rPh sb="74" eb="78">
      <t>チアンイジ</t>
    </rPh>
    <rPh sb="84" eb="86">
      <t>カツドウ</t>
    </rPh>
    <rPh sb="88" eb="90">
      <t>ハバヒロ</t>
    </rPh>
    <rPh sb="91" eb="92">
      <t>テ</t>
    </rPh>
    <rPh sb="93" eb="94">
      <t>ダ</t>
    </rPh>
    <rPh sb="101" eb="103">
      <t>ｔａンｒｅｉ</t>
    </rPh>
    <rPh sb="104" eb="106">
      <t>ヨウシタンレイ</t>
    </rPh>
    <rPh sb="107" eb="109">
      <t>キョウリョク</t>
    </rPh>
    <rPh sb="110" eb="112">
      <t>イノウ</t>
    </rPh>
    <rPh sb="113" eb="115">
      <t>ｙｏｕｒｙｏｕ</t>
    </rPh>
    <rPh sb="125" eb="127">
      <t>ＴＥンンンｉ</t>
    </rPh>
    <rPh sb="127" eb="128">
      <t>エラ</t>
    </rPh>
    <rPh sb="134" eb="136">
      <t>シシツ</t>
    </rPh>
    <rPh sb="137" eb="138">
      <t>モ</t>
    </rPh>
    <rPh sb="139" eb="141">
      <t>イッポウ</t>
    </rPh>
    <rPh sb="143" eb="145">
      <t>カゾク</t>
    </rPh>
    <rPh sb="146" eb="149">
      <t>オサナナジミ</t>
    </rPh>
    <rPh sb="152" eb="153">
      <t>ヒト</t>
    </rPh>
    <rPh sb="155" eb="156">
      <t>エラ</t>
    </rPh>
    <rPh sb="174" eb="175">
      <t>イダ</t>
    </rPh>
    <rPh sb="180" eb="181">
      <t>カ</t>
    </rPh>
    <rPh sb="187" eb="188">
      <t>ナニモノ</t>
    </rPh>
    <phoneticPr fontId="53"/>
  </si>
  <si>
    <t>イケメンドッジ</t>
    <phoneticPr fontId="53"/>
  </si>
  <si>
    <t>近</t>
  </si>
  <si>
    <t>崩壊症状</t>
  </si>
  <si>
    <t>消費アイテム</t>
  </si>
  <si>
    <t>フレーバー</t>
  </si>
  <si>
    <t>－</t>
  </si>
  <si>
    <t>１Ｄ６</t>
  </si>
  <si>
    <t>ノーマル</t>
  </si>
  <si>
    <t>覚醒型</t>
  </si>
  <si>
    <t>増強型</t>
  </si>
  <si>
    <t>ナチュラル</t>
  </si>
  <si>
    <t>上層【アースガルズ】</t>
  </si>
  <si>
    <t>奇跡</t>
  </si>
  <si>
    <t>司法機関グングニル</t>
  </si>
  <si>
    <t xml:space="preserve"> </t>
    <phoneticPr fontId="53"/>
  </si>
  <si>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</si>
  <si>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</si>
  <si>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</si>
  <si>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</si>
  <si>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</si>
  <si>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</si>
  <si>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</si>
  <si>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</si>
  <si>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</si>
  <si>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</si>
  <si>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</si>
  <si>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</si>
  <si>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</si>
  <si>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</si>
  <si>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</si>
  <si>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</si>
  <si>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</si>
  <si>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</si>
  <si>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</si>
  <si>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</si>
  <si>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</si>
  <si>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</si>
  <si>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</si>
  <si>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</si>
  <si>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</si>
  <si>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</si>
  <si>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</si>
  <si>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</si>
  <si>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</si>
  <si>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</si>
  <si>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</si>
  <si>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</si>
  <si>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</si>
  <si>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</si>
  <si>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</si>
  <si>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</si>
  <si>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</si>
  <si>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</si>
  <si>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</si>
  <si>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</si>
  <si>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</si>
  <si>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</si>
  <si>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</si>
  <si>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</si>
  <si>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</si>
  <si>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</si>
  <si>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</si>
  <si>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</si>
  <si>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</si>
  <si>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</si>
  <si>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</si>
  <si>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</si>
  <si>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</si>
  <si>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</si>
  <si>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</si>
  <si>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</si>
  <si>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</si>
  <si>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</si>
  <si>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What's the Game!?</t>
    <phoneticPr fontId="53"/>
  </si>
  <si>
    <t>探索賞</t>
  </si>
  <si>
    <t>イケメンが眩しいのは当たり前。
自身を光に変えて辺りを照らす。</t>
    <phoneticPr fontId="53"/>
  </si>
  <si>
    <t>イケメンフラッシュ</t>
    <phoneticPr fontId="53"/>
  </si>
  <si>
    <t>イケメンロード</t>
    <phoneticPr fontId="53"/>
  </si>
  <si>
    <t>イケメンが意外なところに現れるのは当たり前。
自身を光に変えてガラスなどの透過率の高い素材をすり抜ける。</t>
    <phoneticPr fontId="53"/>
  </si>
  <si>
    <t>イケメンスキャッター</t>
    <phoneticPr fontId="53"/>
  </si>
  <si>
    <t>イケメンをどこから見ても格好良いのは当たり前。
光を散乱させて広範囲に攻撃する。</t>
    <rPh sb="9" eb="10">
      <t>ミ</t>
    </rPh>
    <rPh sb="12" eb="14">
      <t>カッコウ</t>
    </rPh>
    <rPh sb="14" eb="15">
      <t>イ</t>
    </rPh>
    <rPh sb="18" eb="19">
      <t>ア</t>
    </rPh>
    <rPh sb="21" eb="22">
      <t>マエ</t>
    </rPh>
    <rPh sb="24" eb="25">
      <t>ヒカリ</t>
    </rPh>
    <rPh sb="26" eb="28">
      <t>サンラン</t>
    </rPh>
    <rPh sb="31" eb="34">
      <t>コウハンイ</t>
    </rPh>
    <rPh sb="35" eb="37">
      <t>コウゲキ</t>
    </rPh>
    <phoneticPr fontId="53"/>
  </si>
  <si>
    <t>イケメンが一歩先を行くのは当たり前。
自身の身体を光に変えて素早く移動する。</t>
    <rPh sb="5" eb="8">
      <t>イッポサキ</t>
    </rPh>
    <rPh sb="9" eb="10">
      <t>イ</t>
    </rPh>
    <rPh sb="13" eb="14">
      <t>ア</t>
    </rPh>
    <rPh sb="16" eb="17">
      <t>マエ</t>
    </rPh>
    <rPh sb="19" eb="21">
      <t>ジシン</t>
    </rPh>
    <rPh sb="22" eb="24">
      <t>カラダ</t>
    </rPh>
    <rPh sb="25" eb="26">
      <t>ヒカリ</t>
    </rPh>
    <rPh sb="27" eb="28">
      <t>カ</t>
    </rPh>
    <rPh sb="30" eb="32">
      <t>スバヤ</t>
    </rPh>
    <rPh sb="33" eb="35">
      <t>イドウ</t>
    </rPh>
    <phoneticPr fontId="53"/>
  </si>
  <si>
    <t>行動値+8</t>
    <rPh sb="0" eb="2">
      <t>コウドウ</t>
    </rPh>
    <rPh sb="2" eb="3">
      <t>チ</t>
    </rPh>
    <phoneticPr fontId="53"/>
  </si>
  <si>
    <t>イケメンリード</t>
    <phoneticPr fontId="53"/>
  </si>
  <si>
    <t>物理無効</t>
    <rPh sb="0" eb="2">
      <t>ブツリ</t>
    </rPh>
    <rPh sb="2" eb="4">
      <t>ムコウ</t>
    </rPh>
    <phoneticPr fontId="5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</si>
</sst>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TRUE&quot;;&quot;TRUE&quot;;&quot;FALSE&quot;"/>
    <numFmt numFmtId="188" formatCode="#\+#&quot;D6&quot;"/>
    <numFmt numFmtId="189" formatCode="##&quot;D6+&quot;##"/>
  </numFmts>
  <fonts count="55"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font>
    <font>
      <sz val="12"/>
      <color indexed="8"/>
      <name val="ＭＳ Ｐゴシック"/>
      <family val="3"/>
      <charset val="128"/>
    </font>
    <font>
      <b/>
      <sz val="11"/>
      <color indexed="9"/>
      <name val="ＭＳ Ｐゴシック"/>
      <family val="3"/>
      <charset val="128"/>
    </font>
    <font>
      <b/>
      <sz val="12"/>
      <color indexed="10"/>
      <name val="ＭＳ Ｐゴシック"/>
      <family val="3"/>
      <charset val="128"/>
    </font>
    <font>
      <b/>
      <sz val="15"/>
      <color indexed="8"/>
      <name val="ＭＳ Ｐゴシック"/>
      <family val="3"/>
      <charset val="128"/>
    </font>
    <font>
      <sz val="10"/>
      <color indexed="8"/>
      <name val="ＭＳ Ｐゴシック"/>
      <family val="3"/>
      <charset val="128"/>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b/>
      <sz val="12"/>
      <color indexed="9"/>
      <name val="ＭＳ Ｐゴシック"/>
      <family val="3"/>
      <charset val="128"/>
    </font>
    <font>
      <b/>
      <sz val="12"/>
      <name val="ＭＳ Ｐゴシック"/>
      <family val="2"/>
      <charset val="128"/>
    </font>
    <font>
      <sz val="10"/>
      <name val="ＭＳ Ｐゴシック"/>
      <family val="3"/>
      <charset val="128"/>
    </font>
    <font>
      <sz val="12"/>
      <color indexed="8"/>
      <name val="ＭＳ Ｐゴシック"/>
      <family val="3"/>
      <charset val="128"/>
    </font>
    <font>
      <sz val="10.5"/>
      <name val="ＭＳ Ｐゴシック"/>
      <family val="3"/>
      <charset val="128"/>
    </font>
    <font>
      <sz val="11"/>
      <name val="ＭＳ Ｐゴシック"/>
      <family val="3"/>
      <charset val="128"/>
    </font>
    <font>
      <b/>
      <sz val="12"/>
      <name val="ＭＳ Ｐゴシック"/>
      <family val="2"/>
      <charset val="128"/>
    </font>
    <font>
      <sz val="10"/>
      <color indexed="30"/>
      <name val="ＭＳ Ｐゴシック"/>
      <family val="3"/>
      <charset val="128"/>
    </font>
    <font>
      <sz val="11"/>
      <color indexed="8"/>
      <name val="ＭＳ Ｐゴシック"/>
      <family val="3"/>
      <charset val="128"/>
    </font>
    <font>
      <sz val="9"/>
      <name val="ＭＳ Ｐゴシック"/>
      <family val="3"/>
      <charset val="128"/>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charset val="128"/>
    </font>
    <font>
      <b/>
      <sz val="12"/>
      <color indexed="8"/>
      <name val="ＭＳ Ｐゴシック"/>
      <family val="3"/>
      <charset val="128"/>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charset val="128"/>
    </font>
    <font>
      <b/>
      <sz val="11"/>
      <color indexed="8"/>
      <name val="メイリオ"/>
      <family val="3"/>
      <charset val="128"/>
    </font>
    <font>
      <b/>
      <sz val="11"/>
      <name val="ＭＳ Ｐゴシック"/>
      <family val="3"/>
      <charset val="128"/>
    </font>
    <font>
      <b/>
      <sz val="10"/>
      <color indexed="9"/>
      <name val="ＭＳ Ｐゴシック"/>
      <family val="3"/>
      <charset val="128"/>
    </font>
    <font>
      <sz val="9"/>
      <color indexed="9"/>
      <name val="ＭＳ Ｐゴシック"/>
      <family val="3"/>
      <charset val="128"/>
    </font>
    <font>
      <sz val="9"/>
      <color indexed="9"/>
      <name val="ＭＳ Ｐゴシック"/>
      <family val="3"/>
      <charset val="128"/>
    </font>
    <font>
      <sz val="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
      <sz val="10"/>
      <color rgb="FF000000"/>
      <name val="ＭＳ Ｐゴシック"/>
      <family val="3"/>
      <charset val="128"/>
    </font>
  </fonts>
  <fills count="24">
    <fill>
      <patternFill patternType="none"/>
    </fill>
    <fill>
      <patternFill patternType="gray125"/>
    </fill>
    <fill>
      <patternFill patternType="solid">
        <fgColor indexed="27"/>
        <bgColor indexed="41"/>
      </patternFill>
    </fill>
    <fill>
      <patternFill patternType="solid">
        <fgColor indexed="22"/>
        <bgColor indexed="31"/>
      </patternFill>
    </fill>
    <fill>
      <patternFill patternType="solid">
        <fgColor indexed="31"/>
        <bgColor indexed="22"/>
      </patternFill>
    </fill>
    <fill>
      <patternFill patternType="solid">
        <fgColor indexed="9"/>
        <bgColor indexed="26"/>
      </patternFill>
    </fill>
    <fill>
      <patternFill patternType="solid">
        <fgColor indexed="43"/>
        <bgColor indexed="13"/>
      </patternFill>
    </fill>
    <fill>
      <patternFill patternType="solid">
        <fgColor indexed="47"/>
        <bgColor indexed="42"/>
      </patternFill>
    </fill>
    <fill>
      <patternFill patternType="solid">
        <fgColor indexed="62"/>
        <bgColor indexed="59"/>
      </patternFill>
    </fill>
    <fill>
      <patternFill patternType="solid">
        <fgColor indexed="8"/>
        <bgColor indexed="58"/>
      </patternFill>
    </fill>
    <fill>
      <patternFill patternType="solid">
        <fgColor indexed="41"/>
        <bgColor indexed="42"/>
      </patternFill>
    </fill>
    <fill>
      <patternFill patternType="solid">
        <fgColor indexed="59"/>
        <bgColor indexed="63"/>
      </patternFill>
    </fill>
    <fill>
      <patternFill patternType="solid">
        <fgColor indexed="50"/>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
      <patternFill patternType="solid">
        <fgColor indexed="42"/>
        <bgColor indexed="41"/>
      </patternFill>
    </fill>
    <fill>
      <patternFill patternType="solid">
        <fgColor indexed="46"/>
        <bgColor indexed="22"/>
      </patternFill>
    </fill>
    <fill>
      <patternFill patternType="solid">
        <fgColor indexed="23"/>
        <bgColor indexed="55"/>
      </patternFill>
    </fill>
    <fill>
      <patternFill patternType="solid">
        <fgColor indexed="40"/>
        <bgColor indexed="21"/>
      </patternFill>
    </fill>
    <fill>
      <patternFill patternType="solid">
        <fgColor indexed="25"/>
        <bgColor indexed="29"/>
      </patternFill>
    </fill>
    <fill>
      <patternFill patternType="solid">
        <fgColor indexed="44"/>
        <bgColor indexed="24"/>
      </patternFill>
    </fill>
    <fill>
      <patternFill patternType="solid">
        <fgColor indexed="24"/>
        <bgColor indexed="55"/>
      </patternFill>
    </fill>
  </fills>
  <borders count="138">
    <border>
      <left/>
      <right/>
      <top/>
      <bottom/>
      <diagonal/>
    </border>
    <border>
      <left style="thin">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thin">
        <color indexed="55"/>
      </left>
      <right style="medium">
        <color indexed="8"/>
      </right>
      <top style="medium">
        <color indexed="8"/>
      </top>
      <bottom style="thin">
        <color indexed="23"/>
      </bottom>
      <diagonal/>
    </border>
    <border>
      <left style="medium">
        <color indexed="8"/>
      </left>
      <right style="thin">
        <color indexed="8"/>
      </right>
      <top style="thin">
        <color indexed="8"/>
      </top>
      <bottom style="thin">
        <color indexed="8"/>
      </bottom>
      <diagonal/>
    </border>
    <border>
      <left style="thin">
        <color indexed="23"/>
      </left>
      <right style="medium">
        <color indexed="8"/>
      </right>
      <top style="medium">
        <color indexed="8"/>
      </top>
      <bottom style="thin">
        <color indexed="23"/>
      </bottom>
      <diagonal/>
    </border>
    <border>
      <left style="medium">
        <color indexed="8"/>
      </left>
      <right style="thin">
        <color indexed="8"/>
      </right>
      <top style="thin">
        <color indexed="8"/>
      </top>
      <bottom style="medium">
        <color indexed="8"/>
      </bottom>
      <diagonal/>
    </border>
    <border>
      <left style="thin">
        <color indexed="23"/>
      </left>
      <right style="medium">
        <color indexed="8"/>
      </right>
      <top style="thin">
        <color indexed="23"/>
      </top>
      <bottom style="thin">
        <color indexed="23"/>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thin">
        <color indexed="23"/>
      </right>
      <top style="thin">
        <color indexed="23"/>
      </top>
      <bottom style="medium">
        <color indexed="8"/>
      </bottom>
      <diagonal/>
    </border>
    <border>
      <left/>
      <right/>
      <top style="medium">
        <color indexed="8"/>
      </top>
      <bottom/>
      <diagonal/>
    </border>
    <border>
      <left style="medium">
        <color indexed="8"/>
      </left>
      <right style="thin">
        <color indexed="8"/>
      </right>
      <top style="medium">
        <color indexed="8"/>
      </top>
      <bottom style="thin">
        <color indexed="8"/>
      </bottom>
      <diagonal/>
    </border>
    <border>
      <left style="double">
        <color indexed="8"/>
      </left>
      <right style="double">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medium">
        <color indexed="8"/>
      </top>
      <bottom style="thin">
        <color indexed="23"/>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hair">
        <color indexed="8"/>
      </left>
      <right style="thin">
        <color indexed="8"/>
      </right>
      <top style="medium">
        <color indexed="8"/>
      </top>
      <bottom style="hair">
        <color indexed="8"/>
      </bottom>
      <diagonal/>
    </border>
    <border>
      <left style="hair">
        <color indexed="8"/>
      </left>
      <right style="thin">
        <color indexed="8"/>
      </right>
      <top style="hair">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8"/>
      </right>
      <top style="medium">
        <color indexed="8"/>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thin">
        <color indexed="23"/>
      </top>
      <bottom style="medium">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23"/>
      </left>
      <right style="thin">
        <color indexed="8"/>
      </right>
      <top style="thin">
        <color indexed="23"/>
      </top>
      <bottom style="thin">
        <color indexed="23"/>
      </bottom>
      <diagonal/>
    </border>
    <border>
      <left style="medium">
        <color indexed="8"/>
      </left>
      <right style="medium">
        <color indexed="8"/>
      </right>
      <top style="thin">
        <color indexed="23"/>
      </top>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medium">
        <color indexed="8"/>
      </left>
      <right style="hair">
        <color indexed="8"/>
      </right>
      <top style="medium">
        <color indexed="8"/>
      </top>
      <bottom style="hair">
        <color indexed="8"/>
      </bottom>
      <diagonal/>
    </border>
    <border>
      <left style="thin">
        <color indexed="8"/>
      </left>
      <right style="medium">
        <color indexed="8"/>
      </right>
      <top style="medium">
        <color indexed="8"/>
      </top>
      <bottom style="hair">
        <color indexed="8"/>
      </bottom>
      <diagonal/>
    </border>
    <border>
      <left style="medium">
        <color indexed="8"/>
      </left>
      <right style="hair">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medium">
        <color indexed="8"/>
      </left>
      <right style="hair">
        <color indexed="8"/>
      </right>
      <top style="hair">
        <color indexed="8"/>
      </top>
      <bottom style="medium">
        <color indexed="8"/>
      </bottom>
      <diagonal/>
    </border>
    <border>
      <left style="thin">
        <color indexed="8"/>
      </left>
      <right style="medium">
        <color indexed="8"/>
      </right>
      <top style="hair">
        <color indexed="8"/>
      </top>
      <bottom style="medium">
        <color indexed="8"/>
      </bottom>
      <diagonal/>
    </border>
  </borders>
  <cellStyleXfs count="2">
    <xf numFmtId="0" fontId="0" fillId="0" borderId="0"/>
    <xf numFmtId="0" fontId="1" fillId="0" borderId="0">
      <alignment vertical="center"/>
    </xf>
  </cellStyleXfs>
  <cellXfs count="514">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xf numFmtId="0" fontId="0" fillId="0" borderId="0" xfId="0" applyFont="1" applyAlignment="1">
      <alignment wrapText="1"/>
    </xf>
    <xf numFmtId="0" fontId="1" fillId="0" borderId="0" xfId="1" applyFont="1" applyAlignment="1">
      <alignment vertical="center" wrapText="1"/>
    </xf>
    <xf numFmtId="0" fontId="0" fillId="0" borderId="0" xfId="1" applyFont="1" applyAlignment="1">
      <alignment vertical="center" wrapText="1"/>
    </xf>
    <xf numFmtId="0" fontId="4" fillId="0" borderId="0" xfId="1" applyFont="1" applyAlignment="1">
      <alignment horizontal="center" vertical="center" shrinkToFit="1"/>
    </xf>
    <xf numFmtId="0" fontId="4" fillId="0" borderId="0" xfId="1" applyFont="1" applyBorder="1" applyAlignment="1">
      <alignment horizontal="center" vertical="center" shrinkToFit="1"/>
    </xf>
    <xf numFmtId="0" fontId="0" fillId="2" borderId="0" xfId="0" applyFill="1"/>
    <xf numFmtId="0" fontId="4"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4" fillId="3" borderId="0" xfId="1" applyFont="1" applyFill="1" applyBorder="1" applyAlignment="1">
      <alignment horizontal="center" vertical="center" shrinkToFit="1"/>
    </xf>
    <xf numFmtId="0" fontId="4" fillId="3" borderId="0" xfId="1" applyFont="1" applyFill="1" applyAlignment="1">
      <alignment horizontal="center" vertical="center" shrinkToFit="1"/>
    </xf>
    <xf numFmtId="0" fontId="0" fillId="4" borderId="1" xfId="0" applyFont="1" applyFill="1" applyBorder="1" applyAlignment="1">
      <alignment horizontal="center" vertical="center" shrinkToFit="1"/>
    </xf>
    <xf numFmtId="0" fontId="9" fillId="4" borderId="2" xfId="1" applyFont="1" applyFill="1" applyBorder="1" applyAlignment="1">
      <alignment horizontal="center" vertical="center" shrinkToFit="1"/>
    </xf>
    <xf numFmtId="0" fontId="4" fillId="5" borderId="3" xfId="1" applyFont="1" applyFill="1" applyBorder="1" applyAlignment="1">
      <alignment horizontal="center" vertical="center" shrinkToFit="1"/>
    </xf>
    <xf numFmtId="0" fontId="9" fillId="3" borderId="0" xfId="1" applyFont="1" applyFill="1" applyAlignment="1">
      <alignment horizontal="left" vertical="center" shrinkToFit="1"/>
    </xf>
    <xf numFmtId="0" fontId="4" fillId="6" borderId="3" xfId="1" applyFont="1" applyFill="1" applyBorder="1" applyAlignment="1">
      <alignment horizontal="center" vertical="center" shrinkToFit="1"/>
    </xf>
    <xf numFmtId="0" fontId="4" fillId="4" borderId="3" xfId="1" applyFont="1" applyFill="1" applyBorder="1" applyAlignment="1">
      <alignment horizontal="center" vertical="center" shrinkToFit="1"/>
    </xf>
    <xf numFmtId="0" fontId="4" fillId="7" borderId="3" xfId="1" applyFont="1" applyFill="1" applyBorder="1" applyAlignment="1">
      <alignment horizontal="center" vertical="center" shrinkToFit="1"/>
    </xf>
    <xf numFmtId="0" fontId="12" fillId="4" borderId="4" xfId="0" applyFont="1" applyFill="1" applyBorder="1" applyAlignment="1">
      <alignment horizontal="center" vertical="center" shrinkToFit="1"/>
    </xf>
    <xf numFmtId="0" fontId="4" fillId="4" borderId="5" xfId="1" applyFont="1" applyFill="1" applyBorder="1" applyAlignment="1">
      <alignment horizontal="center" vertical="center" shrinkToFit="1"/>
    </xf>
    <xf numFmtId="0" fontId="12" fillId="4" borderId="6" xfId="0" applyFont="1" applyFill="1" applyBorder="1" applyAlignment="1">
      <alignment horizontal="center" vertical="center" shrinkToFit="1"/>
    </xf>
    <xf numFmtId="0" fontId="13" fillId="4" borderId="7" xfId="1" applyFont="1" applyFill="1" applyBorder="1" applyAlignment="1">
      <alignment horizontal="center" vertical="center" shrinkToFit="1"/>
    </xf>
    <xf numFmtId="0" fontId="13" fillId="4" borderId="8" xfId="1" applyFont="1" applyFill="1" applyBorder="1" applyAlignment="1">
      <alignment horizontal="center" vertical="center" shrinkToFit="1"/>
    </xf>
    <xf numFmtId="0" fontId="13" fillId="4" borderId="9" xfId="1" applyFont="1" applyFill="1" applyBorder="1" applyAlignment="1">
      <alignment horizontal="center" vertical="center" shrinkToFit="1"/>
    </xf>
    <xf numFmtId="0" fontId="13" fillId="4" borderId="10" xfId="1" applyFont="1" applyFill="1" applyBorder="1" applyAlignment="1">
      <alignment horizontal="center" vertical="center" shrinkToFit="1"/>
    </xf>
    <xf numFmtId="0" fontId="13" fillId="4" borderId="11" xfId="1" applyFont="1" applyFill="1" applyBorder="1" applyAlignment="1">
      <alignment horizontal="center" vertical="center" shrinkToFit="1"/>
    </xf>
    <xf numFmtId="0" fontId="13" fillId="4" borderId="12" xfId="1" applyFont="1" applyFill="1" applyBorder="1" applyAlignment="1">
      <alignment horizontal="center" vertical="center" shrinkToFit="1"/>
    </xf>
    <xf numFmtId="0" fontId="17" fillId="4" borderId="13" xfId="1" applyFont="1" applyFill="1" applyBorder="1" applyAlignment="1">
      <alignment horizontal="center" vertical="center" shrinkToFit="1"/>
    </xf>
    <xf numFmtId="0" fontId="12" fillId="4" borderId="14" xfId="0" applyFont="1" applyFill="1" applyBorder="1" applyAlignment="1">
      <alignment horizontal="center" vertical="center" shrinkToFit="1"/>
    </xf>
    <xf numFmtId="0" fontId="4" fillId="4" borderId="15" xfId="1" applyFont="1" applyFill="1" applyBorder="1" applyAlignment="1">
      <alignment horizontal="center" vertical="center" shrinkToFit="1"/>
    </xf>
    <xf numFmtId="0" fontId="13" fillId="4" borderId="16" xfId="1" applyFont="1" applyFill="1" applyBorder="1" applyAlignment="1">
      <alignment horizontal="center" vertical="center" shrinkToFit="1"/>
    </xf>
    <xf numFmtId="0" fontId="4" fillId="4" borderId="6" xfId="1" applyFont="1" applyFill="1" applyBorder="1" applyAlignment="1">
      <alignment horizontal="center" vertical="center" shrinkToFit="1"/>
    </xf>
    <xf numFmtId="0" fontId="4" fillId="5" borderId="6" xfId="1" applyFont="1" applyFill="1" applyBorder="1" applyAlignment="1">
      <alignment horizontal="center" vertical="center" shrinkToFit="1"/>
    </xf>
    <xf numFmtId="0" fontId="4" fillId="4" borderId="17" xfId="1" applyFont="1" applyFill="1" applyBorder="1" applyAlignment="1">
      <alignment horizontal="center" vertical="center" shrinkToFit="1"/>
    </xf>
    <xf numFmtId="0" fontId="4" fillId="7" borderId="18" xfId="1" applyFont="1" applyFill="1" applyBorder="1" applyAlignment="1">
      <alignment horizontal="center" vertical="center" shrinkToFit="1"/>
    </xf>
    <xf numFmtId="0" fontId="21" fillId="2" borderId="0" xfId="0" applyFont="1" applyFill="1"/>
    <xf numFmtId="0" fontId="22" fillId="8" borderId="19" xfId="0" applyFont="1" applyFill="1" applyBorder="1" applyAlignment="1" applyProtection="1">
      <alignment horizontal="center" vertical="center" shrinkToFit="1"/>
    </xf>
    <xf numFmtId="0" fontId="23" fillId="6" borderId="20" xfId="0" applyFont="1" applyFill="1" applyBorder="1" applyAlignment="1" applyProtection="1">
      <alignment horizontal="center" vertical="center" shrinkToFit="1"/>
      <protection locked="0"/>
    </xf>
    <xf numFmtId="0" fontId="23" fillId="6" borderId="21" xfId="0" applyFont="1" applyFill="1" applyBorder="1" applyAlignment="1" applyProtection="1">
      <alignment horizontal="center" vertical="center" shrinkToFit="1"/>
      <protection locked="0"/>
    </xf>
    <xf numFmtId="0" fontId="4" fillId="5" borderId="22" xfId="1" applyFont="1" applyFill="1" applyBorder="1" applyAlignment="1">
      <alignment horizontal="center" vertical="center" shrinkToFit="1"/>
    </xf>
    <xf numFmtId="0" fontId="4" fillId="5" borderId="5" xfId="1" applyFont="1" applyFill="1" applyBorder="1" applyAlignment="1">
      <alignment horizontal="center" vertical="center" shrinkToFit="1"/>
    </xf>
    <xf numFmtId="0" fontId="24" fillId="4" borderId="23" xfId="0" applyFont="1" applyFill="1" applyBorder="1" applyAlignment="1">
      <alignment horizontal="center" vertical="center" shrinkToFit="1"/>
    </xf>
    <xf numFmtId="0" fontId="4" fillId="5" borderId="24" xfId="1" applyFont="1" applyFill="1" applyBorder="1" applyAlignment="1">
      <alignment horizontal="center" vertical="center" shrinkToFit="1"/>
    </xf>
    <xf numFmtId="0" fontId="25" fillId="5" borderId="14" xfId="1" applyFont="1" applyFill="1" applyBorder="1" applyAlignment="1">
      <alignment horizontal="center" vertical="center" shrinkToFit="1"/>
    </xf>
    <xf numFmtId="0" fontId="25" fillId="5" borderId="15" xfId="1" applyFont="1" applyFill="1" applyBorder="1" applyAlignment="1">
      <alignment horizontal="center" vertical="center" shrinkToFit="1"/>
    </xf>
    <xf numFmtId="0" fontId="26" fillId="4" borderId="2" xfId="0" applyFont="1" applyFill="1" applyBorder="1" applyAlignment="1">
      <alignment horizontal="center" vertical="center" shrinkToFit="1"/>
    </xf>
    <xf numFmtId="0" fontId="11" fillId="7" borderId="7" xfId="0" applyFont="1" applyFill="1" applyBorder="1" applyAlignment="1">
      <alignment horizontal="center" vertical="center" shrinkToFit="1"/>
    </xf>
    <xf numFmtId="0" fontId="12" fillId="4" borderId="25" xfId="0" applyFont="1" applyFill="1" applyBorder="1" applyAlignment="1">
      <alignment horizontal="center" vertical="center" shrinkToFit="1"/>
    </xf>
    <xf numFmtId="0" fontId="4" fillId="7" borderId="25" xfId="1" applyFont="1" applyFill="1" applyBorder="1" applyAlignment="1">
      <alignment horizontal="center" vertical="center" shrinkToFit="1"/>
    </xf>
    <xf numFmtId="0" fontId="13" fillId="4" borderId="26" xfId="1" applyFont="1" applyFill="1" applyBorder="1" applyAlignment="1">
      <alignment horizontal="center" vertical="center" shrinkToFit="1"/>
    </xf>
    <xf numFmtId="0" fontId="4" fillId="4" borderId="27" xfId="1" applyFont="1" applyFill="1" applyBorder="1" applyAlignment="1">
      <alignment horizontal="center" vertical="center" shrinkToFit="1"/>
    </xf>
    <xf numFmtId="0" fontId="4" fillId="4" borderId="28" xfId="1" applyFont="1" applyFill="1" applyBorder="1" applyAlignment="1">
      <alignment horizontal="center" vertical="center" shrinkToFit="1"/>
    </xf>
    <xf numFmtId="0" fontId="4" fillId="4" borderId="29" xfId="1" applyFont="1" applyFill="1" applyBorder="1" applyAlignment="1">
      <alignment horizontal="center" vertical="center" shrinkToFit="1"/>
    </xf>
    <xf numFmtId="0" fontId="11" fillId="0" borderId="6" xfId="1" applyFont="1" applyFill="1" applyBorder="1" applyAlignment="1">
      <alignment horizontal="center" vertical="center" shrinkToFit="1"/>
    </xf>
    <xf numFmtId="0" fontId="4" fillId="4" borderId="30" xfId="1" applyFont="1" applyFill="1" applyBorder="1" applyAlignment="1">
      <alignment horizontal="center" vertical="center" shrinkToFit="1"/>
    </xf>
    <xf numFmtId="0" fontId="4" fillId="4" borderId="31" xfId="1" applyFont="1" applyFill="1" applyBorder="1" applyAlignment="1">
      <alignment horizontal="center" vertical="center" shrinkToFit="1"/>
    </xf>
    <xf numFmtId="0" fontId="4" fillId="7" borderId="32" xfId="1" applyFont="1" applyFill="1" applyBorder="1" applyAlignment="1">
      <alignment horizontal="center" vertical="center" shrinkToFit="1"/>
    </xf>
    <xf numFmtId="0" fontId="13" fillId="4" borderId="33" xfId="1" applyFont="1" applyFill="1" applyBorder="1" applyAlignment="1">
      <alignment horizontal="center" vertical="center" shrinkToFit="1"/>
    </xf>
    <xf numFmtId="0" fontId="9" fillId="5" borderId="11" xfId="1" applyFont="1" applyFill="1" applyBorder="1" applyAlignment="1">
      <alignment horizontal="center" vertical="center" shrinkToFit="1"/>
    </xf>
    <xf numFmtId="0" fontId="4" fillId="4" borderId="34" xfId="1" applyFont="1" applyFill="1" applyBorder="1" applyAlignment="1">
      <alignment horizontal="center" vertical="center" shrinkToFit="1"/>
    </xf>
    <xf numFmtId="0" fontId="13" fillId="4" borderId="35" xfId="1" applyFont="1" applyFill="1" applyBorder="1" applyAlignment="1">
      <alignment horizontal="center" vertical="center" shrinkToFit="1"/>
    </xf>
    <xf numFmtId="0" fontId="4" fillId="0" borderId="6" xfId="1" applyFont="1" applyFill="1" applyBorder="1" applyAlignment="1">
      <alignment horizontal="center" vertical="center" shrinkToFit="1"/>
    </xf>
    <xf numFmtId="0" fontId="26" fillId="4" borderId="36" xfId="0" applyFont="1" applyFill="1" applyBorder="1" applyAlignment="1">
      <alignment horizontal="center" vertical="center" shrinkToFit="1"/>
    </xf>
    <xf numFmtId="0" fontId="11" fillId="7" borderId="8" xfId="0" applyFont="1" applyFill="1" applyBorder="1" applyAlignment="1">
      <alignment horizontal="center" vertical="center" shrinkToFit="1"/>
    </xf>
    <xf numFmtId="0" fontId="12" fillId="4" borderId="32" xfId="0" applyFont="1" applyFill="1" applyBorder="1" applyAlignment="1">
      <alignment horizontal="center" vertical="center" shrinkToFit="1"/>
    </xf>
    <xf numFmtId="0" fontId="13" fillId="4" borderId="24" xfId="1" applyFont="1" applyFill="1" applyBorder="1" applyAlignment="1">
      <alignment horizontal="center" vertical="center" shrinkToFit="1"/>
    </xf>
    <xf numFmtId="0" fontId="4" fillId="4" borderId="14" xfId="1" applyFont="1" applyFill="1" applyBorder="1" applyAlignment="1">
      <alignment horizontal="center" vertical="center" shrinkToFit="1"/>
    </xf>
    <xf numFmtId="0" fontId="0" fillId="3" borderId="0" xfId="0" applyFill="1"/>
    <xf numFmtId="0" fontId="4" fillId="3" borderId="0" xfId="1" applyFont="1" applyFill="1" applyBorder="1" applyAlignment="1">
      <alignment vertical="center" shrinkToFit="1"/>
    </xf>
    <xf numFmtId="0" fontId="4" fillId="3" borderId="37" xfId="1" applyFont="1" applyFill="1" applyBorder="1" applyAlignment="1">
      <alignment vertical="center" shrinkToFit="1"/>
    </xf>
    <xf numFmtId="0" fontId="4" fillId="3" borderId="37" xfId="1" applyFont="1" applyFill="1" applyBorder="1" applyAlignment="1">
      <alignment horizontal="center" vertical="center" shrinkToFit="1"/>
    </xf>
    <xf numFmtId="0" fontId="0" fillId="4" borderId="2" xfId="0" applyFont="1" applyFill="1" applyBorder="1" applyAlignment="1">
      <alignment horizontal="center" vertical="center" shrinkToFit="1"/>
    </xf>
    <xf numFmtId="182" fontId="12" fillId="7" borderId="25" xfId="0" applyNumberFormat="1" applyFont="1" applyFill="1" applyBorder="1" applyAlignment="1">
      <alignment horizontal="center" vertical="center" shrinkToFit="1"/>
    </xf>
    <xf numFmtId="0" fontId="0" fillId="4" borderId="36" xfId="0" applyFont="1" applyFill="1" applyBorder="1" applyAlignment="1">
      <alignment horizontal="center" vertical="center" shrinkToFit="1"/>
    </xf>
    <xf numFmtId="182" fontId="12" fillId="7" borderId="32" xfId="0" applyNumberFormat="1" applyFont="1" applyFill="1" applyBorder="1" applyAlignment="1">
      <alignment horizontal="center" vertical="center" shrinkToFit="1"/>
    </xf>
    <xf numFmtId="0" fontId="0" fillId="4" borderId="38" xfId="0" applyFont="1" applyFill="1" applyBorder="1" applyAlignment="1">
      <alignment horizontal="center" vertical="center" shrinkToFit="1"/>
    </xf>
    <xf numFmtId="0" fontId="0" fillId="4" borderId="39" xfId="0" applyFont="1" applyFill="1" applyBorder="1" applyAlignment="1">
      <alignment horizontal="center" vertical="center" shrinkToFit="1"/>
    </xf>
    <xf numFmtId="0" fontId="0" fillId="4" borderId="40" xfId="0" applyFont="1" applyFill="1" applyBorder="1" applyAlignment="1">
      <alignment horizontal="center" vertical="center" shrinkToFit="1"/>
    </xf>
    <xf numFmtId="0" fontId="0" fillId="9" borderId="41" xfId="0" applyFill="1" applyBorder="1"/>
    <xf numFmtId="0" fontId="9" fillId="4" borderId="42" xfId="1" applyFont="1" applyFill="1" applyBorder="1" applyAlignment="1">
      <alignment horizontal="center" vertical="center" shrinkToFit="1"/>
    </xf>
    <xf numFmtId="0" fontId="9" fillId="4" borderId="43" xfId="1" applyFont="1" applyFill="1" applyBorder="1" applyAlignment="1">
      <alignment horizontal="center" vertical="center" shrinkToFit="1"/>
    </xf>
    <xf numFmtId="183" fontId="0" fillId="7" borderId="16" xfId="0" applyNumberFormat="1" applyFont="1" applyFill="1" applyBorder="1" applyAlignment="1">
      <alignment horizontal="center" vertical="center" shrinkToFit="1"/>
    </xf>
    <xf numFmtId="183" fontId="0" fillId="7" borderId="44" xfId="0" applyNumberFormat="1" applyFont="1" applyFill="1" applyBorder="1" applyAlignment="1">
      <alignment horizontal="center" vertical="center" shrinkToFit="1"/>
    </xf>
    <xf numFmtId="183" fontId="0" fillId="7" borderId="45" xfId="0" applyNumberFormat="1" applyFont="1" applyFill="1" applyBorder="1" applyAlignment="1">
      <alignment horizontal="center" vertical="center" shrinkToFit="1"/>
    </xf>
    <xf numFmtId="0" fontId="31" fillId="3" borderId="9" xfId="0" applyFont="1" applyFill="1" applyBorder="1" applyAlignment="1">
      <alignment horizontal="center" vertical="center" shrinkToFit="1"/>
    </xf>
    <xf numFmtId="176" fontId="13" fillId="0" borderId="46" xfId="1" applyNumberFormat="1" applyFont="1" applyFill="1" applyBorder="1" applyAlignment="1">
      <alignment horizontal="right" vertical="center" shrinkToFit="1"/>
    </xf>
    <xf numFmtId="181" fontId="13" fillId="0" borderId="47" xfId="1" applyNumberFormat="1" applyFont="1" applyFill="1" applyBorder="1" applyAlignment="1">
      <alignment horizontal="left" vertical="center" shrinkToFit="1"/>
    </xf>
    <xf numFmtId="0" fontId="4" fillId="10" borderId="16" xfId="1" applyFont="1" applyFill="1" applyBorder="1" applyAlignment="1">
      <alignment horizontal="center" vertical="center" shrinkToFit="1"/>
    </xf>
    <xf numFmtId="0" fontId="11" fillId="4" borderId="45" xfId="1" applyFont="1" applyFill="1" applyBorder="1" applyAlignment="1">
      <alignment horizontal="center" vertical="center" shrinkToFit="1"/>
    </xf>
    <xf numFmtId="0" fontId="0" fillId="7" borderId="48" xfId="0" applyNumberFormat="1" applyFill="1" applyBorder="1" applyAlignment="1">
      <alignment horizontal="center" vertical="center" shrinkToFit="1"/>
    </xf>
    <xf numFmtId="0" fontId="4" fillId="4" borderId="49" xfId="1" applyFont="1" applyFill="1" applyBorder="1" applyAlignment="1">
      <alignment horizontal="center" vertical="center" shrinkToFit="1"/>
    </xf>
    <xf numFmtId="0" fontId="4" fillId="10" borderId="17" xfId="1" applyFont="1" applyFill="1" applyBorder="1" applyAlignment="1">
      <alignment horizontal="center" vertical="center" shrinkToFit="1"/>
    </xf>
    <xf numFmtId="0" fontId="0" fillId="7" borderId="48" xfId="0" applyNumberFormat="1" applyFont="1" applyFill="1" applyBorder="1" applyAlignment="1">
      <alignment horizontal="center" vertical="center" shrinkToFit="1"/>
    </xf>
    <xf numFmtId="176" fontId="13" fillId="0" borderId="50" xfId="1" applyNumberFormat="1" applyFont="1" applyFill="1" applyBorder="1" applyAlignment="1">
      <alignment horizontal="right" vertical="center" shrinkToFit="1"/>
    </xf>
    <xf numFmtId="181" fontId="13" fillId="0" borderId="51" xfId="1" applyNumberFormat="1" applyFont="1" applyFill="1" applyBorder="1" applyAlignment="1">
      <alignment horizontal="left" vertical="center" shrinkToFit="1"/>
    </xf>
    <xf numFmtId="0" fontId="4" fillId="4" borderId="52" xfId="1" applyFont="1" applyFill="1" applyBorder="1" applyAlignment="1">
      <alignment horizontal="center" vertical="center" shrinkToFit="1"/>
    </xf>
    <xf numFmtId="0" fontId="4" fillId="10" borderId="53" xfId="1" applyFont="1" applyFill="1" applyBorder="1" applyAlignment="1">
      <alignment horizontal="center" vertical="center" shrinkToFit="1"/>
    </xf>
    <xf numFmtId="0" fontId="0" fillId="7" borderId="54"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9" fillId="3" borderId="0" xfId="0" applyFont="1" applyFill="1" applyAlignment="1">
      <alignment vertical="center"/>
    </xf>
    <xf numFmtId="0" fontId="0" fillId="4" borderId="4" xfId="0" applyFont="1" applyFill="1" applyBorder="1" applyAlignment="1">
      <alignment horizontal="center" vertical="center" shrinkToFit="1"/>
    </xf>
    <xf numFmtId="0" fontId="0" fillId="3" borderId="38" xfId="0" applyFont="1" applyFill="1" applyBorder="1" applyAlignment="1">
      <alignment horizontal="center" vertical="center" shrinkToFit="1"/>
    </xf>
    <xf numFmtId="183" fontId="0" fillId="7" borderId="22" xfId="0" applyNumberFormat="1" applyFill="1" applyBorder="1" applyAlignment="1">
      <alignment horizontal="center" vertical="center"/>
    </xf>
    <xf numFmtId="183" fontId="0" fillId="7" borderId="6" xfId="0" applyNumberFormat="1" applyFill="1" applyBorder="1" applyAlignment="1">
      <alignment horizontal="center" vertical="center"/>
    </xf>
    <xf numFmtId="183" fontId="0" fillId="7" borderId="5" xfId="0" applyNumberFormat="1" applyFill="1" applyBorder="1" applyAlignment="1">
      <alignment horizontal="center" vertical="center"/>
    </xf>
    <xf numFmtId="0" fontId="33" fillId="11" borderId="55" xfId="0" applyFont="1" applyFill="1" applyBorder="1" applyAlignment="1">
      <alignment horizontal="center" vertical="center" wrapText="1"/>
    </xf>
    <xf numFmtId="0" fontId="9" fillId="5" borderId="55" xfId="0" applyFont="1" applyFill="1" applyBorder="1" applyAlignment="1">
      <alignment horizontal="center" vertical="center" wrapText="1"/>
    </xf>
    <xf numFmtId="0" fontId="15" fillId="5" borderId="55" xfId="0" applyFont="1" applyFill="1" applyBorder="1" applyAlignment="1">
      <alignment horizontal="center" vertical="center" wrapText="1"/>
    </xf>
    <xf numFmtId="0" fontId="0" fillId="3" borderId="24" xfId="0" applyFont="1" applyFill="1" applyBorder="1" applyAlignment="1">
      <alignment horizontal="center" vertical="center" shrinkToFit="1"/>
    </xf>
    <xf numFmtId="183" fontId="0" fillId="7" borderId="24" xfId="0" applyNumberFormat="1" applyFill="1" applyBorder="1" applyAlignment="1">
      <alignment horizontal="center" vertical="center"/>
    </xf>
    <xf numFmtId="183" fontId="0" fillId="7" borderId="14" xfId="0" applyNumberFormat="1" applyFill="1" applyBorder="1" applyAlignment="1">
      <alignment horizontal="center" vertical="center"/>
    </xf>
    <xf numFmtId="183" fontId="0" fillId="7" borderId="15" xfId="0" applyNumberFormat="1" applyFill="1" applyBorder="1" applyAlignment="1">
      <alignment horizontal="center" vertical="center"/>
    </xf>
    <xf numFmtId="0" fontId="0" fillId="0" borderId="55" xfId="0" applyFont="1" applyBorder="1" applyAlignment="1">
      <alignment horizontal="center" vertical="center" wrapText="1"/>
    </xf>
    <xf numFmtId="0" fontId="4" fillId="4" borderId="22" xfId="1" applyFont="1" applyFill="1" applyBorder="1" applyAlignment="1">
      <alignment horizontal="center" vertical="center" shrinkToFit="1"/>
    </xf>
    <xf numFmtId="0" fontId="35" fillId="4" borderId="6" xfId="1" applyFont="1" applyFill="1" applyBorder="1" applyAlignment="1">
      <alignment horizontal="center" vertical="center" shrinkToFit="1"/>
    </xf>
    <xf numFmtId="0" fontId="13" fillId="4" borderId="22" xfId="1" applyFont="1" applyFill="1" applyBorder="1" applyAlignment="1">
      <alignment horizontal="center" vertical="center" shrinkToFit="1"/>
    </xf>
    <xf numFmtId="0" fontId="11" fillId="4" borderId="46" xfId="1" applyFont="1" applyFill="1" applyBorder="1" applyAlignment="1">
      <alignment horizontal="center" vertical="center" shrinkToFit="1"/>
    </xf>
    <xf numFmtId="0" fontId="4" fillId="7" borderId="5" xfId="1" applyFont="1" applyFill="1" applyBorder="1" applyAlignment="1">
      <alignment horizontal="center" vertical="center" shrinkToFit="1"/>
    </xf>
    <xf numFmtId="0" fontId="13" fillId="4" borderId="56" xfId="1" applyFont="1" applyFill="1" applyBorder="1" applyAlignment="1">
      <alignment horizontal="center" vertical="center" shrinkToFit="1"/>
    </xf>
    <xf numFmtId="0" fontId="11" fillId="4" borderId="6" xfId="1" applyFont="1" applyFill="1" applyBorder="1" applyAlignment="1">
      <alignment horizontal="center" vertical="center" shrinkToFit="1"/>
    </xf>
    <xf numFmtId="0" fontId="0" fillId="0" borderId="57" xfId="0" applyFill="1" applyBorder="1" applyAlignment="1">
      <alignment vertical="center" shrinkToFit="1"/>
    </xf>
    <xf numFmtId="0" fontId="0" fillId="0" borderId="6" xfId="0" applyFill="1" applyBorder="1" applyAlignment="1">
      <alignment vertical="center" shrinkToFit="1"/>
    </xf>
    <xf numFmtId="0" fontId="4" fillId="7" borderId="5" xfId="1" applyNumberFormat="1" applyFont="1" applyFill="1" applyBorder="1" applyAlignment="1">
      <alignment horizontal="center" vertical="center" shrinkToFit="1"/>
    </xf>
    <xf numFmtId="0" fontId="11" fillId="4" borderId="14" xfId="1" applyFont="1" applyFill="1" applyBorder="1" applyAlignment="1">
      <alignment horizontal="center" vertical="center" shrinkToFit="1"/>
    </xf>
    <xf numFmtId="0" fontId="4" fillId="0" borderId="14" xfId="1" applyFont="1" applyFill="1" applyBorder="1" applyAlignment="1">
      <alignment horizontal="center" vertical="center" shrinkToFit="1"/>
    </xf>
    <xf numFmtId="0" fontId="4" fillId="7" borderId="15" xfId="1" applyFont="1" applyFill="1" applyBorder="1" applyAlignment="1">
      <alignment horizontal="center" vertical="center" shrinkToFit="1"/>
    </xf>
    <xf numFmtId="0" fontId="9" fillId="4" borderId="6" xfId="1" applyFont="1" applyFill="1" applyBorder="1" applyAlignment="1">
      <alignment horizontal="center" vertical="center" shrinkToFit="1"/>
    </xf>
    <xf numFmtId="0" fontId="0" fillId="0" borderId="0" xfId="0" applyAlignment="1"/>
    <xf numFmtId="0" fontId="4" fillId="12" borderId="0" xfId="1" applyFont="1" applyFill="1" applyAlignment="1">
      <alignment horizontal="center" vertical="center" shrinkToFit="1"/>
    </xf>
    <xf numFmtId="0" fontId="0" fillId="12" borderId="0" xfId="0" applyFill="1" applyAlignment="1">
      <alignment vertical="center"/>
    </xf>
    <xf numFmtId="0" fontId="39" fillId="4" borderId="58" xfId="0" applyFont="1" applyFill="1" applyBorder="1" applyAlignment="1">
      <alignment horizontal="center" vertical="center"/>
    </xf>
    <xf numFmtId="0" fontId="39" fillId="4" borderId="59" xfId="0" applyFont="1" applyFill="1" applyBorder="1" applyAlignment="1">
      <alignment horizontal="center" vertical="center"/>
    </xf>
    <xf numFmtId="0" fontId="28" fillId="4" borderId="23" xfId="0" applyFont="1" applyFill="1" applyBorder="1" applyAlignment="1">
      <alignment horizontal="center" vertical="center" shrinkToFit="1"/>
    </xf>
    <xf numFmtId="0" fontId="39" fillId="4" borderId="23" xfId="0" applyFont="1" applyFill="1" applyBorder="1" applyAlignment="1">
      <alignment horizontal="center" vertical="center"/>
    </xf>
    <xf numFmtId="0" fontId="0" fillId="6" borderId="2" xfId="0" applyFont="1" applyFill="1" applyBorder="1" applyAlignment="1">
      <alignment horizontal="center" vertical="center" shrinkToFit="1"/>
    </xf>
    <xf numFmtId="0" fontId="0" fillId="6" borderId="7" xfId="0" applyFont="1" applyFill="1" applyBorder="1" applyAlignment="1">
      <alignment horizontal="center" vertical="center" shrinkToFit="1"/>
    </xf>
    <xf numFmtId="0" fontId="0" fillId="6" borderId="25" xfId="0" applyFont="1" applyFill="1" applyBorder="1" applyAlignment="1">
      <alignment horizontal="center" vertical="center" shrinkToFit="1"/>
    </xf>
    <xf numFmtId="0" fontId="0" fillId="0" borderId="0" xfId="0" applyFont="1" applyAlignment="1">
      <alignment horizontal="left" vertical="center" indent="1" shrinkToFit="1"/>
    </xf>
    <xf numFmtId="0" fontId="0" fillId="10" borderId="0" xfId="0" applyFont="1" applyFill="1" applyAlignment="1">
      <alignment horizontal="left" vertical="center" shrinkToFit="1"/>
    </xf>
    <xf numFmtId="0" fontId="0" fillId="10" borderId="0" xfId="0" applyFont="1" applyFill="1" applyAlignment="1">
      <alignment horizontal="left" vertical="center" indent="1" shrinkToFit="1"/>
    </xf>
    <xf numFmtId="0" fontId="0" fillId="10" borderId="0" xfId="0" applyFill="1"/>
    <xf numFmtId="0" fontId="0" fillId="4" borderId="2" xfId="0" applyFont="1" applyFill="1" applyBorder="1" applyAlignment="1">
      <alignment horizontal="left" vertical="center" indent="1" shrinkToFit="1"/>
    </xf>
    <xf numFmtId="0" fontId="0" fillId="4" borderId="7" xfId="0" applyFont="1" applyFill="1" applyBorder="1" applyAlignment="1">
      <alignment horizontal="left" vertical="center" indent="1" shrinkToFit="1"/>
    </xf>
    <xf numFmtId="0" fontId="0" fillId="4" borderId="25" xfId="0" applyFont="1" applyFill="1" applyBorder="1" applyAlignment="1">
      <alignment horizontal="left" vertical="center" indent="1" shrinkToFit="1"/>
    </xf>
    <xf numFmtId="0" fontId="0" fillId="7" borderId="7" xfId="0" applyFont="1" applyFill="1" applyBorder="1" applyAlignment="1">
      <alignment horizontal="center" vertical="center" shrinkToFit="1"/>
    </xf>
    <xf numFmtId="0" fontId="0" fillId="5" borderId="25" xfId="0" applyFont="1" applyFill="1" applyBorder="1" applyAlignment="1">
      <alignment horizontal="left" vertical="center" indent="1" shrinkToFit="1"/>
    </xf>
    <xf numFmtId="0" fontId="0" fillId="7" borderId="25" xfId="0" applyFont="1" applyFill="1" applyBorder="1" applyAlignment="1">
      <alignment horizontal="center" vertical="center" shrinkToFit="1"/>
    </xf>
    <xf numFmtId="0" fontId="0" fillId="7" borderId="8" xfId="0" applyFont="1" applyFill="1" applyBorder="1" applyAlignment="1">
      <alignment horizontal="center" vertical="center" shrinkToFit="1"/>
    </xf>
    <xf numFmtId="0" fontId="0" fillId="5" borderId="32" xfId="0" applyFont="1" applyFill="1" applyBorder="1" applyAlignment="1">
      <alignment horizontal="left" vertical="center" indent="1" shrinkToFit="1"/>
    </xf>
    <xf numFmtId="0" fontId="0" fillId="6" borderId="36" xfId="0" applyFont="1" applyFill="1" applyBorder="1" applyAlignment="1">
      <alignment horizontal="center" vertical="center" shrinkToFit="1"/>
    </xf>
    <xf numFmtId="0" fontId="0" fillId="6" borderId="32" xfId="0" applyFont="1" applyFill="1" applyBorder="1" applyAlignment="1">
      <alignment horizontal="center" vertical="center" shrinkToFit="1"/>
    </xf>
    <xf numFmtId="0" fontId="0" fillId="10" borderId="0" xfId="0" applyFont="1" applyFill="1" applyAlignment="1">
      <alignment shrinkToFit="1"/>
    </xf>
    <xf numFmtId="0" fontId="33" fillId="8" borderId="60" xfId="0" applyFont="1" applyFill="1" applyBorder="1" applyAlignment="1">
      <alignment horizontal="center" vertical="center" shrinkToFit="1"/>
    </xf>
    <xf numFmtId="0" fontId="33" fillId="8" borderId="23" xfId="0" applyFont="1" applyFill="1" applyBorder="1" applyAlignment="1">
      <alignment horizontal="center" vertical="center" shrinkToFit="1"/>
    </xf>
    <xf numFmtId="0" fontId="33" fillId="8" borderId="23" xfId="0" applyFont="1" applyFill="1" applyBorder="1" applyAlignment="1">
      <alignment horizontal="center" vertical="center" indent="1" shrinkToFit="1"/>
    </xf>
    <xf numFmtId="176" fontId="0" fillId="7" borderId="61" xfId="0" applyNumberFormat="1" applyFont="1" applyFill="1" applyBorder="1" applyAlignment="1">
      <alignment horizontal="right" vertical="center" shrinkToFit="1"/>
    </xf>
    <xf numFmtId="181" fontId="0" fillId="7" borderId="62" xfId="0" applyNumberFormat="1" applyFont="1" applyFill="1" applyBorder="1" applyAlignment="1">
      <alignment horizontal="left" vertical="center" shrinkToFit="1"/>
    </xf>
    <xf numFmtId="0" fontId="0" fillId="7" borderId="32" xfId="0" applyFont="1" applyFill="1" applyBorder="1" applyAlignment="1">
      <alignment horizontal="center" vertical="center" shrinkToFit="1"/>
    </xf>
    <xf numFmtId="0" fontId="0" fillId="7" borderId="36" xfId="0" applyNumberFormat="1" applyFont="1" applyFill="1" applyBorder="1" applyAlignment="1">
      <alignment horizontal="center" vertical="center" indent="1" shrinkToFit="1"/>
    </xf>
    <xf numFmtId="0" fontId="0" fillId="7" borderId="32" xfId="0" applyFont="1" applyFill="1" applyBorder="1" applyAlignment="1">
      <alignment horizontal="center" vertical="center" indent="1" shrinkToFit="1"/>
    </xf>
    <xf numFmtId="0" fontId="9" fillId="4" borderId="7" xfId="1" applyFont="1" applyFill="1" applyBorder="1" applyAlignment="1">
      <alignment horizontal="center" vertical="center" shrinkToFit="1"/>
    </xf>
    <xf numFmtId="0" fontId="0" fillId="0" borderId="0" xfId="0" applyFont="1" applyAlignment="1">
      <alignment shrinkToFit="1"/>
    </xf>
    <xf numFmtId="0" fontId="9" fillId="5" borderId="0" xfId="1" applyFont="1" applyFill="1" applyAlignment="1">
      <alignment horizontal="left" vertical="center" shrinkToFit="1"/>
    </xf>
    <xf numFmtId="0" fontId="4" fillId="13" borderId="3" xfId="1" applyFont="1" applyFill="1" applyBorder="1" applyAlignment="1">
      <alignment horizontal="center" vertical="center" shrinkToFit="1"/>
    </xf>
    <xf numFmtId="0" fontId="28" fillId="0" borderId="0" xfId="0" applyNumberFormat="1" applyFont="1" applyBorder="1" applyAlignment="1">
      <alignment horizontal="center" vertical="center" wrapText="1" shrinkToFit="1"/>
    </xf>
    <xf numFmtId="0" fontId="31" fillId="0" borderId="63" xfId="0" applyNumberFormat="1" applyFont="1" applyBorder="1" applyAlignment="1">
      <alignment horizontal="center" vertical="center" wrapText="1" shrinkToFit="1"/>
    </xf>
    <xf numFmtId="0" fontId="4" fillId="14" borderId="3" xfId="1" applyFont="1" applyFill="1" applyBorder="1" applyAlignment="1">
      <alignment horizontal="center" vertical="center" shrinkToFit="1"/>
    </xf>
    <xf numFmtId="0" fontId="4" fillId="2" borderId="3" xfId="1" applyFont="1" applyFill="1" applyBorder="1" applyAlignment="1">
      <alignment horizontal="center" vertical="center" shrinkToFit="1"/>
    </xf>
    <xf numFmtId="0" fontId="9" fillId="0" borderId="0" xfId="1" applyFont="1" applyFill="1" applyAlignment="1">
      <alignment horizontal="left" vertical="center" shrinkToFit="1"/>
    </xf>
    <xf numFmtId="0" fontId="47" fillId="8" borderId="4" xfId="0" applyNumberFormat="1" applyFont="1" applyFill="1" applyBorder="1" applyAlignment="1">
      <alignment horizontal="center" vertical="center" shrinkToFit="1"/>
    </xf>
    <xf numFmtId="0" fontId="31" fillId="0" borderId="63" xfId="0" applyNumberFormat="1" applyFont="1" applyBorder="1" applyAlignment="1">
      <alignment horizontal="center" vertical="center" shrinkToFit="1"/>
    </xf>
    <xf numFmtId="0" fontId="31" fillId="6" borderId="6" xfId="0" applyNumberFormat="1" applyFont="1" applyFill="1" applyBorder="1" applyAlignment="1">
      <alignment horizontal="center" vertical="center" shrinkToFit="1"/>
    </xf>
    <xf numFmtId="0" fontId="47" fillId="8" borderId="6" xfId="0" applyNumberFormat="1" applyFont="1" applyFill="1" applyBorder="1" applyAlignment="1">
      <alignment horizontal="center" vertical="center" shrinkToFit="1"/>
    </xf>
    <xf numFmtId="0" fontId="51" fillId="2" borderId="64" xfId="0" applyNumberFormat="1" applyFont="1" applyFill="1" applyBorder="1" applyAlignment="1">
      <alignment horizontal="center" vertical="center" shrinkToFit="1"/>
    </xf>
    <xf numFmtId="184" fontId="31" fillId="2" borderId="65" xfId="0" applyNumberFormat="1" applyFont="1" applyFill="1" applyBorder="1" applyAlignment="1">
      <alignment horizontal="left" shrinkToFit="1"/>
    </xf>
    <xf numFmtId="0" fontId="51" fillId="7" borderId="66" xfId="0" applyNumberFormat="1" applyFont="1" applyFill="1" applyBorder="1" applyAlignment="1">
      <alignment horizontal="center" vertical="center" shrinkToFit="1"/>
    </xf>
    <xf numFmtId="184" fontId="31" fillId="7" borderId="65" xfId="0" applyNumberFormat="1" applyFont="1" applyFill="1" applyBorder="1" applyAlignment="1">
      <alignment horizontal="left" shrinkToFit="1"/>
    </xf>
    <xf numFmtId="185" fontId="31" fillId="6" borderId="66" xfId="0" applyNumberFormat="1" applyFont="1" applyFill="1" applyBorder="1" applyAlignment="1">
      <alignment horizontal="right" vertical="center" shrinkToFit="1"/>
    </xf>
    <xf numFmtId="178" fontId="51" fillId="6" borderId="67" xfId="0" applyNumberFormat="1" applyFont="1" applyFill="1" applyBorder="1" applyAlignment="1">
      <alignment horizontal="center" vertical="center" shrinkToFit="1"/>
    </xf>
    <xf numFmtId="0" fontId="31" fillId="3" borderId="68" xfId="0" applyNumberFormat="1" applyFont="1" applyFill="1" applyBorder="1" applyAlignment="1">
      <alignment horizontal="center" vertical="center" shrinkToFit="1"/>
    </xf>
    <xf numFmtId="0" fontId="31" fillId="15" borderId="68" xfId="0" applyNumberFormat="1" applyFont="1" applyFill="1" applyBorder="1" applyAlignment="1">
      <alignment horizontal="center" vertical="center" shrinkToFit="1"/>
    </xf>
    <xf numFmtId="0" fontId="31" fillId="3" borderId="27" xfId="0" applyNumberFormat="1" applyFont="1" applyFill="1" applyBorder="1" applyAlignment="1">
      <alignment horizontal="center" vertical="center" shrinkToFit="1"/>
    </xf>
    <xf numFmtId="186" fontId="51" fillId="15" borderId="27" xfId="0" applyNumberFormat="1" applyFont="1" applyFill="1" applyBorder="1" applyAlignment="1">
      <alignment horizontal="center" vertical="center" shrinkToFit="1"/>
    </xf>
    <xf numFmtId="0" fontId="47" fillId="8" borderId="38" xfId="0" applyNumberFormat="1" applyFont="1" applyFill="1" applyBorder="1" applyAlignment="1">
      <alignment horizontal="center" vertical="center" shrinkToFit="1"/>
    </xf>
    <xf numFmtId="188" fontId="31" fillId="5" borderId="4" xfId="0" applyNumberFormat="1" applyFont="1" applyFill="1" applyBorder="1" applyAlignment="1">
      <alignment horizontal="center" vertical="center" shrinkToFit="1"/>
    </xf>
    <xf numFmtId="189" fontId="31" fillId="5" borderId="4" xfId="0" applyNumberFormat="1" applyFont="1" applyFill="1" applyBorder="1" applyAlignment="1">
      <alignment horizontal="center" vertical="center" shrinkToFit="1"/>
    </xf>
    <xf numFmtId="0" fontId="31" fillId="16" borderId="38" xfId="0" applyNumberFormat="1" applyFont="1" applyFill="1" applyBorder="1" applyAlignment="1">
      <alignment horizontal="center" vertical="center" shrinkToFit="1"/>
    </xf>
    <xf numFmtId="0" fontId="31" fillId="16" borderId="4" xfId="0" applyNumberFormat="1" applyFont="1" applyFill="1" applyBorder="1" applyAlignment="1">
      <alignment horizontal="center" vertical="center" shrinkToFit="1"/>
    </xf>
    <xf numFmtId="0" fontId="31" fillId="16" borderId="40" xfId="0" applyNumberFormat="1" applyFont="1" applyFill="1" applyBorder="1" applyAlignment="1">
      <alignment horizontal="center" vertical="center" shrinkToFit="1"/>
    </xf>
    <xf numFmtId="0" fontId="47" fillId="8" borderId="22" xfId="0" applyNumberFormat="1" applyFont="1" applyFill="1" applyBorder="1" applyAlignment="1">
      <alignment horizontal="center" vertical="center" shrinkToFit="1"/>
    </xf>
    <xf numFmtId="188" fontId="31" fillId="5" borderId="6" xfId="0" applyNumberFormat="1" applyFont="1" applyFill="1" applyBorder="1" applyAlignment="1">
      <alignment horizontal="center" vertical="center" shrinkToFit="1"/>
    </xf>
    <xf numFmtId="189" fontId="31" fillId="5" borderId="6" xfId="0" applyNumberFormat="1" applyFont="1" applyFill="1" applyBorder="1" applyAlignment="1">
      <alignment horizontal="center" vertical="center" shrinkToFit="1"/>
    </xf>
    <xf numFmtId="0" fontId="31" fillId="2" borderId="69" xfId="0" applyNumberFormat="1" applyFont="1" applyFill="1" applyBorder="1" applyAlignment="1">
      <alignment horizontal="center" vertical="center" shrinkToFit="1"/>
    </xf>
    <xf numFmtId="0" fontId="31" fillId="2" borderId="70" xfId="0" applyNumberFormat="1" applyFont="1" applyFill="1" applyBorder="1" applyAlignment="1">
      <alignment horizontal="center" vertical="center" shrinkToFit="1"/>
    </xf>
    <xf numFmtId="0" fontId="31" fillId="2" borderId="71" xfId="0" applyNumberFormat="1" applyFont="1" applyFill="1" applyBorder="1" applyAlignment="1">
      <alignment horizontal="center" vertical="center" shrinkToFit="1"/>
    </xf>
    <xf numFmtId="0" fontId="31" fillId="2" borderId="65" xfId="0" applyNumberFormat="1" applyFont="1" applyFill="1" applyBorder="1" applyAlignment="1">
      <alignment horizontal="center" vertical="center" shrinkToFit="1"/>
    </xf>
    <xf numFmtId="0" fontId="49" fillId="2" borderId="70" xfId="0" applyNumberFormat="1" applyFont="1" applyFill="1" applyBorder="1" applyAlignment="1">
      <alignment horizontal="center" vertical="center" shrinkToFit="1"/>
    </xf>
    <xf numFmtId="0" fontId="0" fillId="2" borderId="70" xfId="0" applyNumberFormat="1" applyFont="1" applyFill="1" applyBorder="1" applyAlignment="1">
      <alignment horizontal="center" vertical="center" shrinkToFit="1"/>
    </xf>
    <xf numFmtId="0" fontId="0" fillId="2" borderId="71" xfId="0" applyNumberFormat="1" applyFont="1" applyFill="1" applyBorder="1" applyAlignment="1">
      <alignment horizontal="center" vertical="center" shrinkToFit="1"/>
    </xf>
    <xf numFmtId="0" fontId="31" fillId="9" borderId="22" xfId="0" applyNumberFormat="1" applyFont="1" applyFill="1" applyBorder="1" applyAlignment="1">
      <alignment horizontal="center" vertical="center" shrinkToFit="1"/>
    </xf>
    <xf numFmtId="0" fontId="31" fillId="9" borderId="6" xfId="0" applyNumberFormat="1" applyFont="1" applyFill="1" applyBorder="1" applyAlignment="1">
      <alignment horizontal="center" vertical="center" shrinkToFit="1"/>
    </xf>
    <xf numFmtId="0" fontId="31" fillId="9" borderId="5" xfId="0" applyNumberFormat="1" applyFont="1" applyFill="1" applyBorder="1" applyAlignment="1">
      <alignment horizontal="center" vertical="center" shrinkToFit="1"/>
    </xf>
    <xf numFmtId="0" fontId="0" fillId="7" borderId="57" xfId="0" applyNumberFormat="1" applyFont="1" applyFill="1" applyBorder="1" applyAlignment="1">
      <alignment horizontal="center" vertical="center" shrinkToFit="1"/>
    </xf>
    <xf numFmtId="0" fontId="49" fillId="7" borderId="6" xfId="0" applyNumberFormat="1" applyFont="1" applyFill="1" applyBorder="1" applyAlignment="1">
      <alignment horizontal="center" vertical="center" shrinkToFit="1"/>
    </xf>
    <xf numFmtId="0" fontId="0" fillId="7" borderId="6" xfId="0" applyNumberFormat="1" applyFont="1" applyFill="1" applyBorder="1" applyAlignment="1">
      <alignment horizontal="center" vertical="center" shrinkToFit="1"/>
    </xf>
    <xf numFmtId="0" fontId="0" fillId="7" borderId="5" xfId="0" applyNumberFormat="1" applyFont="1" applyFill="1" applyBorder="1" applyAlignment="1">
      <alignment horizontal="center" vertical="center" shrinkToFit="1"/>
    </xf>
    <xf numFmtId="0" fontId="31" fillId="5" borderId="6" xfId="0" applyNumberFormat="1" applyFont="1" applyFill="1" applyBorder="1" applyAlignment="1">
      <alignment horizontal="center" vertical="center" shrinkToFit="1"/>
    </xf>
    <xf numFmtId="0" fontId="31" fillId="9" borderId="41" xfId="0" applyFont="1" applyFill="1" applyBorder="1" applyAlignment="1">
      <alignment shrinkToFit="1"/>
    </xf>
    <xf numFmtId="0" fontId="49" fillId="7" borderId="22" xfId="0" applyNumberFormat="1" applyFont="1" applyFill="1" applyBorder="1" applyAlignment="1">
      <alignment horizontal="center" vertical="center" shrinkToFit="1"/>
    </xf>
    <xf numFmtId="0" fontId="31" fillId="7" borderId="6" xfId="0" applyNumberFormat="1" applyFont="1" applyFill="1" applyBorder="1" applyAlignment="1">
      <alignment horizontal="center" vertical="center" shrinkToFit="1"/>
    </xf>
    <xf numFmtId="0" fontId="31" fillId="7" borderId="5" xfId="0" applyNumberFormat="1" applyFont="1" applyFill="1" applyBorder="1" applyAlignment="1">
      <alignment horizontal="center" vertical="center" shrinkToFit="1"/>
    </xf>
    <xf numFmtId="0" fontId="24" fillId="7" borderId="57" xfId="0" applyNumberFormat="1" applyFont="1" applyFill="1" applyBorder="1" applyAlignment="1">
      <alignment horizontal="center" vertical="center" shrinkToFit="1"/>
    </xf>
    <xf numFmtId="0" fontId="31" fillId="3" borderId="5" xfId="0" applyNumberFormat="1" applyFont="1" applyFill="1" applyBorder="1" applyAlignment="1">
      <alignment horizontal="center" vertical="center" shrinkToFit="1"/>
    </xf>
    <xf numFmtId="0" fontId="31" fillId="6" borderId="22" xfId="0" applyNumberFormat="1" applyFont="1" applyFill="1" applyBorder="1" applyAlignment="1">
      <alignment horizontal="center" vertical="center" shrinkToFit="1"/>
    </xf>
    <xf numFmtId="0" fontId="31" fillId="4" borderId="5" xfId="0" applyNumberFormat="1" applyFont="1" applyFill="1" applyBorder="1" applyAlignment="1">
      <alignment horizontal="center" vertical="center" shrinkToFit="1"/>
    </xf>
    <xf numFmtId="0" fontId="31" fillId="6" borderId="72" xfId="0" applyNumberFormat="1" applyFont="1" applyFill="1" applyBorder="1" applyAlignment="1">
      <alignment horizontal="center" vertical="center" shrinkToFit="1"/>
    </xf>
    <xf numFmtId="0" fontId="49" fillId="6" borderId="14" xfId="0" applyNumberFormat="1" applyFont="1" applyFill="1" applyBorder="1" applyAlignment="1">
      <alignment horizontal="center" vertical="center" shrinkToFit="1"/>
    </xf>
    <xf numFmtId="0" fontId="0" fillId="6" borderId="14" xfId="0" applyNumberFormat="1" applyFont="1" applyFill="1" applyBorder="1" applyAlignment="1">
      <alignment horizontal="center" vertical="center" shrinkToFit="1"/>
    </xf>
    <xf numFmtId="0" fontId="0" fillId="6" borderId="15" xfId="0" applyNumberFormat="1" applyFont="1" applyFill="1" applyBorder="1" applyAlignment="1">
      <alignment horizontal="center" vertical="center" shrinkToFit="1"/>
    </xf>
    <xf numFmtId="0" fontId="47" fillId="8" borderId="4" xfId="0" applyFont="1" applyFill="1" applyBorder="1" applyAlignment="1">
      <alignment horizontal="center" shrinkToFit="1"/>
    </xf>
    <xf numFmtId="0" fontId="31" fillId="0" borderId="4" xfId="0" applyFont="1" applyBorder="1" applyAlignment="1">
      <alignment horizontal="center" shrinkToFit="1"/>
    </xf>
    <xf numFmtId="0" fontId="47" fillId="8" borderId="4" xfId="0" applyFont="1" applyFill="1" applyBorder="1" applyAlignment="1">
      <alignment horizontal="center" vertical="center" shrinkToFit="1"/>
    </xf>
    <xf numFmtId="0" fontId="31" fillId="0" borderId="40" xfId="0" applyFont="1" applyBorder="1" applyAlignment="1">
      <alignment horizontal="center" shrinkToFit="1"/>
    </xf>
    <xf numFmtId="0" fontId="47" fillId="8" borderId="14" xfId="0" applyFont="1" applyFill="1" applyBorder="1" applyAlignment="1">
      <alignment horizontal="center" shrinkToFit="1"/>
    </xf>
    <xf numFmtId="0" fontId="31" fillId="0" borderId="14" xfId="0" applyFont="1" applyBorder="1" applyAlignment="1">
      <alignment horizontal="center" shrinkToFit="1"/>
    </xf>
    <xf numFmtId="0" fontId="47" fillId="8" borderId="14" xfId="0" applyFont="1" applyFill="1" applyBorder="1" applyAlignment="1">
      <alignment horizontal="center" vertical="center" shrinkToFit="1"/>
    </xf>
    <xf numFmtId="0" fontId="31" fillId="0" borderId="15" xfId="0" applyFont="1" applyBorder="1" applyAlignment="1">
      <alignment horizontal="center" shrinkToFit="1"/>
    </xf>
    <xf numFmtId="0" fontId="47" fillId="8" borderId="73" xfId="0" applyFont="1" applyFill="1" applyBorder="1" applyAlignment="1">
      <alignment horizontal="center" shrinkToFit="1"/>
    </xf>
    <xf numFmtId="0" fontId="0" fillId="16" borderId="55" xfId="0" applyFont="1" applyFill="1" applyBorder="1" applyAlignment="1">
      <alignment horizontal="center"/>
    </xf>
    <xf numFmtId="0" fontId="47" fillId="8" borderId="74" xfId="0" applyFont="1" applyFill="1" applyBorder="1" applyAlignment="1">
      <alignment horizontal="center" shrinkToFit="1"/>
    </xf>
    <xf numFmtId="0" fontId="47" fillId="8" borderId="74" xfId="0" applyFont="1" applyFill="1" applyBorder="1" applyAlignment="1">
      <alignment horizontal="center" vertical="center" shrinkToFit="1"/>
    </xf>
    <xf numFmtId="0" fontId="47" fillId="8" borderId="75" xfId="0" applyFont="1" applyFill="1" applyBorder="1" applyAlignment="1">
      <alignment horizontal="center" shrinkToFit="1"/>
    </xf>
    <xf numFmtId="0" fontId="47" fillId="8" borderId="55" xfId="0" applyFont="1" applyFill="1" applyBorder="1" applyAlignment="1">
      <alignment horizontal="center" shrinkToFit="1"/>
    </xf>
    <xf numFmtId="0" fontId="47" fillId="8" borderId="55" xfId="0" applyFont="1" applyFill="1" applyBorder="1" applyAlignment="1">
      <alignment horizontal="center" vertical="center" shrinkToFit="1"/>
    </xf>
    <xf numFmtId="0" fontId="47" fillId="8" borderId="75" xfId="0" applyFont="1" applyFill="1" applyBorder="1" applyAlignment="1">
      <alignment horizontal="center" vertical="center" shrinkToFit="1"/>
    </xf>
    <xf numFmtId="0" fontId="47" fillId="8" borderId="76" xfId="0" applyFont="1" applyFill="1" applyBorder="1" applyAlignment="1">
      <alignment horizontal="center" vertical="center" shrinkToFit="1"/>
    </xf>
    <xf numFmtId="0" fontId="47" fillId="8" borderId="77" xfId="0" applyFont="1" applyFill="1" applyBorder="1" applyAlignment="1">
      <alignment horizontal="center" vertical="center" shrinkToFit="1"/>
    </xf>
    <xf numFmtId="0" fontId="0" fillId="9" borderId="0" xfId="0" applyFill="1"/>
    <xf numFmtId="0" fontId="47" fillId="8" borderId="78" xfId="0" applyNumberFormat="1" applyFont="1" applyFill="1" applyBorder="1" applyAlignment="1">
      <alignment horizontal="center" vertical="center" shrinkToFit="1"/>
    </xf>
    <xf numFmtId="188" fontId="31" fillId="5" borderId="79" xfId="0" applyNumberFormat="1" applyFont="1" applyFill="1" applyBorder="1" applyAlignment="1">
      <alignment horizontal="center" vertical="center" shrinkToFit="1"/>
    </xf>
    <xf numFmtId="0" fontId="47" fillId="8" borderId="79" xfId="0" applyNumberFormat="1" applyFont="1" applyFill="1" applyBorder="1" applyAlignment="1">
      <alignment horizontal="center" vertical="center" shrinkToFit="1"/>
    </xf>
    <xf numFmtId="188" fontId="31" fillId="5" borderId="76" xfId="0" applyNumberFormat="1" applyFont="1" applyFill="1" applyBorder="1" applyAlignment="1">
      <alignment horizontal="center" vertical="center" shrinkToFit="1"/>
    </xf>
    <xf numFmtId="0" fontId="47" fillId="8" borderId="80" xfId="0" applyNumberFormat="1" applyFont="1" applyFill="1" applyBorder="1" applyAlignment="1">
      <alignment horizontal="center" vertical="center" shrinkToFit="1"/>
    </xf>
    <xf numFmtId="188" fontId="31" fillId="5" borderId="75" xfId="0" applyNumberFormat="1" applyFont="1" applyFill="1" applyBorder="1" applyAlignment="1">
      <alignment horizontal="center" vertical="center" shrinkToFit="1"/>
    </xf>
    <xf numFmtId="0" fontId="31" fillId="9" borderId="70" xfId="0" applyNumberFormat="1" applyFont="1" applyFill="1" applyBorder="1" applyAlignment="1">
      <alignment horizontal="center" vertical="center" shrinkToFit="1"/>
    </xf>
    <xf numFmtId="0" fontId="31" fillId="9" borderId="71" xfId="0" applyNumberFormat="1" applyFont="1" applyFill="1" applyBorder="1" applyAlignment="1">
      <alignment horizontal="center" vertical="center" shrinkToFit="1"/>
    </xf>
    <xf numFmtId="0" fontId="47" fillId="8" borderId="24" xfId="0" applyNumberFormat="1" applyFont="1" applyFill="1" applyBorder="1" applyAlignment="1">
      <alignment horizontal="center" vertical="center" shrinkToFit="1"/>
    </xf>
    <xf numFmtId="0" fontId="31" fillId="5" borderId="14" xfId="0" applyNumberFormat="1" applyFont="1" applyFill="1" applyBorder="1" applyAlignment="1">
      <alignment horizontal="center" vertical="center" shrinkToFit="1"/>
    </xf>
    <xf numFmtId="0" fontId="47" fillId="8" borderId="14" xfId="0" applyNumberFormat="1" applyFont="1" applyFill="1" applyBorder="1" applyAlignment="1">
      <alignment horizontal="center" vertical="center" shrinkToFit="1"/>
    </xf>
    <xf numFmtId="0" fontId="31" fillId="5" borderId="81" xfId="0" applyNumberFormat="1" applyFont="1" applyFill="1" applyBorder="1" applyAlignment="1">
      <alignment horizontal="center" vertical="center" shrinkToFit="1"/>
    </xf>
    <xf numFmtId="0" fontId="0" fillId="9" borderId="82" xfId="0" applyFill="1" applyBorder="1"/>
    <xf numFmtId="189" fontId="31" fillId="5" borderId="14" xfId="0" applyNumberFormat="1" applyFont="1" applyFill="1" applyBorder="1" applyAlignment="1">
      <alignment horizontal="center" vertical="center" shrinkToFit="1"/>
    </xf>
    <xf numFmtId="0" fontId="31" fillId="5" borderId="15" xfId="0" applyNumberFormat="1" applyFont="1" applyFill="1" applyBorder="1" applyAlignment="1">
      <alignment horizontal="center" vertical="center" shrinkToFit="1"/>
    </xf>
    <xf numFmtId="0" fontId="0" fillId="17" borderId="0" xfId="0" applyFill="1" applyAlignment="1"/>
    <xf numFmtId="0" fontId="0" fillId="17" borderId="0" xfId="0" applyFill="1"/>
    <xf numFmtId="0" fontId="0" fillId="17" borderId="0" xfId="0" applyFont="1" applyFill="1" applyAlignment="1">
      <alignment horizontal="left" vertical="center" indent="1"/>
    </xf>
    <xf numFmtId="0" fontId="24" fillId="17" borderId="0" xfId="0" applyFont="1" applyFill="1" applyAlignment="1">
      <alignment horizontal="left" vertical="center" indent="1"/>
    </xf>
    <xf numFmtId="0" fontId="0" fillId="18" borderId="0" xfId="0" applyFill="1"/>
    <xf numFmtId="0" fontId="33" fillId="19" borderId="83" xfId="0" applyFont="1" applyFill="1" applyBorder="1" applyAlignment="1">
      <alignment horizontal="center" vertical="center"/>
    </xf>
    <xf numFmtId="0" fontId="0" fillId="6" borderId="80" xfId="0" applyFont="1" applyFill="1" applyBorder="1" applyAlignment="1">
      <alignment horizontal="center" vertical="center" shrinkToFit="1"/>
    </xf>
    <xf numFmtId="0" fontId="0" fillId="6" borderId="84" xfId="0" applyFont="1" applyFill="1" applyBorder="1" applyAlignment="1">
      <alignment horizontal="center" vertical="center" shrinkToFit="1"/>
    </xf>
    <xf numFmtId="183" fontId="4" fillId="7" borderId="18" xfId="1" applyNumberFormat="1" applyFont="1" applyFill="1" applyBorder="1" applyAlignment="1">
      <alignment horizontal="center" vertical="center" shrinkToFit="1"/>
    </xf>
    <xf numFmtId="0" fontId="4" fillId="4" borderId="24" xfId="1" applyFont="1" applyFill="1" applyBorder="1" applyAlignment="1">
      <alignment horizontal="center" vertical="center" shrinkToFit="1"/>
    </xf>
    <xf numFmtId="183" fontId="4" fillId="7" borderId="29" xfId="1" applyNumberFormat="1" applyFont="1" applyFill="1" applyBorder="1" applyAlignment="1">
      <alignment horizontal="center" vertical="center" shrinkToFit="1"/>
    </xf>
    <xf numFmtId="0" fontId="14" fillId="8" borderId="91" xfId="1" applyFont="1" applyFill="1" applyBorder="1" applyAlignment="1">
      <alignment horizontal="center" vertical="center" shrinkToFit="1"/>
    </xf>
    <xf numFmtId="0" fontId="33" fillId="11" borderId="55" xfId="0" applyFont="1" applyFill="1" applyBorder="1" applyAlignment="1">
      <alignment horizontal="center" vertical="center" wrapText="1"/>
    </xf>
    <xf numFmtId="0" fontId="4" fillId="4" borderId="9" xfId="1" applyFont="1" applyFill="1" applyBorder="1" applyAlignment="1">
      <alignment horizontal="center" vertical="center" shrinkToFit="1"/>
    </xf>
    <xf numFmtId="0" fontId="4" fillId="4" borderId="22" xfId="1" applyFont="1" applyFill="1" applyBorder="1" applyAlignment="1">
      <alignment horizontal="center" vertical="center" shrinkToFit="1"/>
    </xf>
    <xf numFmtId="0" fontId="4" fillId="4" borderId="18" xfId="1" applyFont="1" applyFill="1" applyBorder="1" applyAlignment="1">
      <alignment horizontal="center" vertical="center" shrinkToFit="1"/>
    </xf>
    <xf numFmtId="0" fontId="36" fillId="22" borderId="105" xfId="0" applyFont="1" applyFill="1" applyBorder="1" applyAlignment="1">
      <alignment horizontal="center" vertical="center" wrapText="1"/>
    </xf>
    <xf numFmtId="0" fontId="0" fillId="0" borderId="106" xfId="0" applyBorder="1" applyAlignment="1"/>
    <xf numFmtId="0" fontId="0" fillId="0" borderId="107" xfId="0" applyBorder="1" applyAlignment="1"/>
    <xf numFmtId="0" fontId="0" fillId="0" borderId="108" xfId="0" applyBorder="1" applyAlignment="1"/>
    <xf numFmtId="0" fontId="0" fillId="0" borderId="0" xfId="0" applyBorder="1" applyAlignment="1"/>
    <xf numFmtId="0" fontId="0" fillId="0" borderId="109" xfId="0" applyBorder="1" applyAlignment="1"/>
    <xf numFmtId="0" fontId="0" fillId="0" borderId="110" xfId="0" applyBorder="1" applyAlignment="1"/>
    <xf numFmtId="0" fontId="0" fillId="0" borderId="111" xfId="0" applyBorder="1" applyAlignment="1"/>
    <xf numFmtId="0" fontId="0" fillId="0" borderId="112" xfId="0" applyBorder="1" applyAlignment="1"/>
    <xf numFmtId="0" fontId="25" fillId="5" borderId="56" xfId="1" applyFont="1" applyFill="1" applyBorder="1" applyAlignment="1">
      <alignment horizontal="left" vertical="center" wrapText="1" indent="1" shrinkToFit="1"/>
    </xf>
    <xf numFmtId="0" fontId="0" fillId="0" borderId="0" xfId="0" applyAlignment="1"/>
    <xf numFmtId="0" fontId="0" fillId="0" borderId="41" xfId="0" applyBorder="1" applyAlignment="1"/>
    <xf numFmtId="0" fontId="0" fillId="0" borderId="56" xfId="0" applyBorder="1" applyAlignment="1"/>
    <xf numFmtId="0" fontId="0" fillId="0" borderId="113" xfId="0" applyBorder="1" applyAlignment="1"/>
    <xf numFmtId="0" fontId="0" fillId="0" borderId="82" xfId="0" applyBorder="1" applyAlignment="1"/>
    <xf numFmtId="0" fontId="0" fillId="0" borderId="114" xfId="0" applyBorder="1" applyAlignment="1"/>
    <xf numFmtId="0" fontId="13" fillId="6" borderId="2" xfId="1" applyFont="1" applyFill="1" applyBorder="1" applyAlignment="1">
      <alignment horizontal="center" vertical="center" shrinkToFit="1"/>
    </xf>
    <xf numFmtId="0" fontId="13" fillId="7" borderId="32" xfId="1" applyFont="1" applyFill="1" applyBorder="1" applyAlignment="1">
      <alignment horizontal="center" vertical="center" shrinkToFit="1"/>
    </xf>
    <xf numFmtId="0" fontId="13" fillId="0" borderId="25" xfId="0" applyFont="1" applyFill="1" applyBorder="1" applyAlignment="1">
      <alignment horizontal="center" vertical="center" shrinkToFit="1"/>
    </xf>
    <xf numFmtId="0" fontId="13" fillId="0" borderId="25" xfId="1" applyFont="1" applyFill="1" applyBorder="1" applyAlignment="1">
      <alignment horizontal="center" vertical="center" shrinkToFit="1"/>
    </xf>
    <xf numFmtId="0" fontId="35" fillId="4" borderId="6" xfId="1" applyFont="1" applyFill="1" applyBorder="1" applyAlignment="1">
      <alignment horizontal="center" vertical="center" shrinkToFit="1"/>
    </xf>
    <xf numFmtId="0" fontId="13" fillId="7" borderId="25" xfId="1" applyFont="1" applyFill="1" applyBorder="1" applyAlignment="1">
      <alignment horizontal="center" vertical="center" shrinkToFit="1"/>
    </xf>
    <xf numFmtId="0" fontId="34" fillId="5" borderId="55" xfId="0" applyFont="1" applyFill="1" applyBorder="1" applyAlignment="1">
      <alignment horizontal="center" vertical="center" wrapText="1"/>
    </xf>
    <xf numFmtId="0" fontId="16" fillId="4" borderId="25" xfId="1" applyFont="1" applyFill="1" applyBorder="1" applyAlignment="1">
      <alignment horizontal="center" vertical="center" shrinkToFit="1"/>
    </xf>
    <xf numFmtId="0" fontId="32" fillId="5" borderId="55" xfId="0" applyFont="1" applyFill="1" applyBorder="1" applyAlignment="1">
      <alignment horizontal="center" vertical="center" wrapText="1"/>
    </xf>
    <xf numFmtId="0" fontId="11" fillId="0" borderId="29" xfId="0" applyFont="1" applyFill="1" applyBorder="1" applyAlignment="1">
      <alignment horizontal="center" vertical="center" shrinkToFit="1"/>
    </xf>
    <xf numFmtId="0" fontId="13" fillId="0" borderId="15" xfId="1" applyFont="1" applyFill="1" applyBorder="1" applyAlignment="1">
      <alignment horizontal="left" vertical="center" indent="1" shrinkToFit="1"/>
    </xf>
    <xf numFmtId="0" fontId="4" fillId="4" borderId="95" xfId="1" applyFont="1" applyFill="1" applyBorder="1" applyAlignment="1">
      <alignment horizontal="center" vertical="center" shrinkToFit="1"/>
    </xf>
    <xf numFmtId="0" fontId="0" fillId="4" borderId="9" xfId="0" applyFont="1" applyFill="1" applyBorder="1" applyAlignment="1">
      <alignment horizontal="center" vertical="center" shrinkToFit="1"/>
    </xf>
    <xf numFmtId="0" fontId="25" fillId="5" borderId="94" xfId="1" applyFont="1" applyFill="1" applyBorder="1" applyAlignment="1">
      <alignment horizontal="left" vertical="center" wrapText="1" indent="1" shrinkToFit="1"/>
    </xf>
    <xf numFmtId="0" fontId="2" fillId="9" borderId="55" xfId="0" applyFont="1" applyFill="1" applyBorder="1" applyAlignment="1">
      <alignment horizontal="center" vertical="center" wrapText="1"/>
    </xf>
    <xf numFmtId="0" fontId="4" fillId="9" borderId="102" xfId="1" applyFont="1" applyFill="1" applyBorder="1" applyAlignment="1">
      <alignment horizontal="center" vertical="center" shrinkToFit="1"/>
    </xf>
    <xf numFmtId="0" fontId="11" fillId="0" borderId="18" xfId="0" applyFont="1" applyFill="1" applyBorder="1" applyAlignment="1">
      <alignment horizontal="center" vertical="center" shrinkToFit="1"/>
    </xf>
    <xf numFmtId="0" fontId="13" fillId="0" borderId="5" xfId="1" applyFont="1" applyFill="1" applyBorder="1" applyAlignment="1">
      <alignment horizontal="left" vertical="center" indent="1" shrinkToFit="1"/>
    </xf>
    <xf numFmtId="0" fontId="14" fillId="8" borderId="85" xfId="0" applyFont="1" applyFill="1" applyBorder="1" applyAlignment="1">
      <alignment horizontal="center" vertical="center" shrinkToFit="1"/>
    </xf>
    <xf numFmtId="0" fontId="14" fillId="8" borderId="85" xfId="1" applyFont="1" applyFill="1" applyBorder="1" applyAlignment="1">
      <alignment horizontal="center" vertical="center" shrinkToFit="1"/>
    </xf>
    <xf numFmtId="0" fontId="13" fillId="4" borderId="103" xfId="1" applyFont="1" applyFill="1" applyBorder="1" applyAlignment="1">
      <alignment horizontal="center" vertical="center" shrinkToFit="1"/>
    </xf>
    <xf numFmtId="0" fontId="19" fillId="5" borderId="95" xfId="1" applyFont="1" applyFill="1" applyBorder="1" applyAlignment="1">
      <alignment horizontal="center" vertical="center" shrinkToFit="1"/>
    </xf>
    <xf numFmtId="0" fontId="0" fillId="3" borderId="0" xfId="0" applyFont="1" applyFill="1" applyBorder="1" applyAlignment="1">
      <alignment horizontal="center" vertical="center"/>
    </xf>
    <xf numFmtId="0" fontId="13" fillId="4" borderId="104" xfId="1" applyFont="1" applyFill="1" applyBorder="1" applyAlignment="1">
      <alignment horizontal="center" vertical="center" shrinkToFit="1"/>
    </xf>
    <xf numFmtId="0" fontId="16" fillId="4" borderId="2" xfId="1" applyFont="1" applyFill="1" applyBorder="1" applyAlignment="1">
      <alignment horizontal="center" vertical="center" shrinkToFit="1"/>
    </xf>
    <xf numFmtId="0" fontId="30" fillId="0" borderId="5" xfId="1" applyFont="1" applyFill="1" applyBorder="1" applyAlignment="1">
      <alignment horizontal="left" vertical="center" indent="1" shrinkToFit="1"/>
    </xf>
    <xf numFmtId="0" fontId="28" fillId="4" borderId="94" xfId="0" applyFont="1" applyFill="1" applyBorder="1" applyAlignment="1">
      <alignment horizontal="center" vertical="center" shrinkToFit="1"/>
    </xf>
    <xf numFmtId="0" fontId="2" fillId="4" borderId="85" xfId="0" applyFont="1" applyFill="1" applyBorder="1" applyAlignment="1">
      <alignment horizontal="center" vertical="center" shrinkToFit="1"/>
    </xf>
    <xf numFmtId="0" fontId="4" fillId="4" borderId="36" xfId="1" applyFont="1" applyFill="1" applyBorder="1" applyAlignment="1">
      <alignment horizontal="center" vertical="center" shrinkToFit="1"/>
    </xf>
    <xf numFmtId="0" fontId="7" fillId="7" borderId="99" xfId="1" applyNumberFormat="1" applyFont="1" applyFill="1" applyBorder="1" applyAlignment="1">
      <alignment horizontal="center" vertical="center" shrinkToFit="1"/>
    </xf>
    <xf numFmtId="180" fontId="11" fillId="7" borderId="100" xfId="1" applyNumberFormat="1" applyFont="1" applyFill="1" applyBorder="1" applyAlignment="1">
      <alignment horizontal="left" vertical="center" shrinkToFit="1"/>
    </xf>
    <xf numFmtId="176" fontId="7" fillId="7" borderId="99" xfId="1" applyNumberFormat="1" applyFont="1" applyFill="1" applyBorder="1" applyAlignment="1">
      <alignment horizontal="right" vertical="center" shrinkToFit="1"/>
    </xf>
    <xf numFmtId="181" fontId="7" fillId="7" borderId="100" xfId="1" applyNumberFormat="1" applyFont="1" applyFill="1" applyBorder="1" applyAlignment="1">
      <alignment horizontal="left" vertical="center" shrinkToFit="1"/>
    </xf>
    <xf numFmtId="0" fontId="20" fillId="6" borderId="94" xfId="0" applyFont="1" applyFill="1" applyBorder="1" applyAlignment="1">
      <alignment horizontal="center" vertical="center" shrinkToFit="1"/>
    </xf>
    <xf numFmtId="0" fontId="0" fillId="4" borderId="2" xfId="0" applyFont="1" applyFill="1" applyBorder="1" applyAlignment="1">
      <alignment horizontal="center" vertical="center" shrinkToFit="1"/>
    </xf>
    <xf numFmtId="0" fontId="0" fillId="4" borderId="101" xfId="0" applyFont="1" applyFill="1" applyBorder="1" applyAlignment="1">
      <alignment horizontal="center" vertical="center" shrinkToFit="1"/>
    </xf>
    <xf numFmtId="0" fontId="0" fillId="4" borderId="3" xfId="0" applyFont="1" applyFill="1" applyBorder="1" applyAlignment="1">
      <alignment horizontal="center" vertical="center" shrinkToFit="1"/>
    </xf>
    <xf numFmtId="0" fontId="0" fillId="4" borderId="36" xfId="0" applyFont="1" applyFill="1" applyBorder="1" applyAlignment="1">
      <alignment horizontal="center" vertical="center" shrinkToFit="1"/>
    </xf>
    <xf numFmtId="0" fontId="4" fillId="4" borderId="2" xfId="1" applyFont="1" applyFill="1" applyBorder="1" applyAlignment="1">
      <alignment horizontal="center" vertical="center" shrinkToFit="1"/>
    </xf>
    <xf numFmtId="0" fontId="7" fillId="7" borderId="97" xfId="1" applyNumberFormat="1" applyFont="1" applyFill="1" applyBorder="1" applyAlignment="1">
      <alignment horizontal="center" vertical="center" shrinkToFit="1"/>
    </xf>
    <xf numFmtId="180" fontId="11" fillId="7" borderId="98" xfId="1" applyNumberFormat="1" applyFont="1" applyFill="1" applyBorder="1" applyAlignment="1">
      <alignment horizontal="left" vertical="center" shrinkToFit="1"/>
    </xf>
    <xf numFmtId="176" fontId="7" fillId="7" borderId="97" xfId="1" applyNumberFormat="1" applyFont="1" applyFill="1" applyBorder="1" applyAlignment="1">
      <alignment horizontal="right" vertical="center" shrinkToFit="1"/>
    </xf>
    <xf numFmtId="181" fontId="7" fillId="7" borderId="98" xfId="1" applyNumberFormat="1" applyFont="1" applyFill="1" applyBorder="1" applyAlignment="1">
      <alignment horizontal="left" vertical="center" shrinkToFit="1"/>
    </xf>
    <xf numFmtId="179" fontId="12" fillId="7" borderId="94" xfId="0" applyNumberFormat="1" applyFont="1" applyFill="1" applyBorder="1" applyAlignment="1">
      <alignment horizontal="center" vertical="center" shrinkToFit="1"/>
    </xf>
    <xf numFmtId="0" fontId="28" fillId="4" borderId="3" xfId="0" applyFont="1" applyFill="1" applyBorder="1" applyAlignment="1">
      <alignment horizontal="center" vertical="center" wrapText="1" shrinkToFit="1"/>
    </xf>
    <xf numFmtId="179" fontId="12" fillId="7" borderId="95" xfId="0" applyNumberFormat="1"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4" fillId="0" borderId="3" xfId="1" applyFont="1" applyFill="1" applyBorder="1" applyAlignment="1">
      <alignment horizontal="center" vertical="center" shrinkToFit="1"/>
    </xf>
    <xf numFmtId="0" fontId="4" fillId="0" borderId="96" xfId="1" applyFont="1" applyFill="1" applyBorder="1" applyAlignment="1">
      <alignment horizontal="center" vertical="center" shrinkToFit="1"/>
    </xf>
    <xf numFmtId="0" fontId="11" fillId="0" borderId="9" xfId="0" applyFont="1" applyFill="1" applyBorder="1" applyAlignment="1">
      <alignment horizontal="center" vertical="center" shrinkToFit="1"/>
    </xf>
    <xf numFmtId="0" fontId="13" fillId="0" borderId="40" xfId="1" applyFont="1" applyFill="1" applyBorder="1" applyAlignment="1">
      <alignment horizontal="left" vertical="center" indent="1" shrinkToFit="1"/>
    </xf>
    <xf numFmtId="0" fontId="7" fillId="7" borderId="23" xfId="1" applyFont="1" applyFill="1" applyBorder="1" applyAlignment="1">
      <alignment horizontal="center" vertical="center" shrinkToFit="1"/>
    </xf>
    <xf numFmtId="0" fontId="7" fillId="7" borderId="32" xfId="1" applyFont="1" applyFill="1" applyBorder="1" applyAlignment="1">
      <alignment horizontal="center" vertical="center" shrinkToFit="1"/>
    </xf>
    <xf numFmtId="0" fontId="7" fillId="7" borderId="25" xfId="1" applyFont="1" applyFill="1" applyBorder="1" applyAlignment="1">
      <alignment horizontal="center" vertical="center" shrinkToFit="1"/>
    </xf>
    <xf numFmtId="0" fontId="4" fillId="4" borderId="60" xfId="1" applyFont="1" applyFill="1" applyBorder="1" applyAlignment="1">
      <alignment horizontal="center" vertical="center" shrinkToFit="1"/>
    </xf>
    <xf numFmtId="0" fontId="13" fillId="4" borderId="36" xfId="1" applyFont="1" applyFill="1" applyBorder="1" applyAlignment="1">
      <alignment horizontal="center" vertical="center" shrinkToFit="1"/>
    </xf>
    <xf numFmtId="0" fontId="10" fillId="0" borderId="24" xfId="1" applyFont="1" applyFill="1" applyBorder="1" applyAlignment="1">
      <alignment horizontal="center" vertical="center" shrinkToFit="1"/>
    </xf>
    <xf numFmtId="0" fontId="13" fillId="0" borderId="14" xfId="1" applyFont="1" applyFill="1" applyBorder="1" applyAlignment="1">
      <alignment horizontal="center" vertical="center" shrinkToFit="1"/>
    </xf>
    <xf numFmtId="0" fontId="13" fillId="0" borderId="15" xfId="1" applyFont="1" applyFill="1" applyBorder="1" applyAlignment="1">
      <alignment horizontal="center" vertical="center" shrinkToFit="1"/>
    </xf>
    <xf numFmtId="0" fontId="10" fillId="0" borderId="22" xfId="1" applyFont="1" applyFill="1" applyBorder="1" applyAlignment="1">
      <alignment horizontal="center" vertical="center" shrinkToFit="1"/>
    </xf>
    <xf numFmtId="0" fontId="11" fillId="0" borderId="6" xfId="1" applyFont="1" applyFill="1" applyBorder="1" applyAlignment="1">
      <alignment horizontal="center" vertical="center" shrinkToFit="1"/>
    </xf>
    <xf numFmtId="0" fontId="13" fillId="0" borderId="5" xfId="1" applyFont="1" applyFill="1" applyBorder="1" applyAlignment="1">
      <alignment horizontal="center" vertical="center" shrinkToFit="1"/>
    </xf>
    <xf numFmtId="0" fontId="4" fillId="4" borderId="38" xfId="1" applyFont="1" applyFill="1" applyBorder="1" applyAlignment="1">
      <alignment horizontal="center" vertical="center" shrinkToFit="1"/>
    </xf>
    <xf numFmtId="0" fontId="13" fillId="4" borderId="2" xfId="1" applyFont="1" applyFill="1" applyBorder="1" applyAlignment="1">
      <alignment horizontal="center" vertical="center" shrinkToFit="1"/>
    </xf>
    <xf numFmtId="0" fontId="12" fillId="20" borderId="0" xfId="0" applyFont="1" applyFill="1" applyBorder="1" applyAlignment="1">
      <alignment horizontal="center" vertical="center" wrapText="1" shrinkToFit="1"/>
    </xf>
    <xf numFmtId="0" fontId="27" fillId="21" borderId="0" xfId="0" applyFont="1" applyFill="1" applyBorder="1" applyAlignment="1">
      <alignment horizontal="center" vertical="center" wrapText="1" shrinkToFit="1"/>
    </xf>
    <xf numFmtId="0" fontId="13" fillId="0" borderId="40" xfId="1" applyFont="1" applyFill="1" applyBorder="1" applyAlignment="1">
      <alignment horizontal="center" vertical="center" shrinkToFit="1"/>
    </xf>
    <xf numFmtId="0" fontId="4" fillId="5" borderId="6" xfId="1" applyFont="1" applyFill="1" applyBorder="1" applyAlignment="1">
      <alignment horizontal="center" vertical="center" shrinkToFit="1"/>
    </xf>
    <xf numFmtId="0" fontId="18" fillId="8" borderId="92" xfId="1" applyFont="1" applyFill="1" applyBorder="1" applyAlignment="1">
      <alignment horizontal="center" vertical="center" shrinkToFit="1"/>
    </xf>
    <xf numFmtId="0" fontId="19" fillId="6" borderId="89" xfId="1" applyFont="1" applyFill="1" applyBorder="1" applyAlignment="1">
      <alignment horizontal="center" vertical="center" shrinkToFit="1"/>
    </xf>
    <xf numFmtId="0" fontId="18" fillId="8" borderId="89" xfId="1" applyFont="1" applyFill="1" applyBorder="1" applyAlignment="1">
      <alignment horizontal="center" vertical="center" shrinkToFit="1"/>
    </xf>
    <xf numFmtId="0" fontId="19" fillId="6" borderId="90" xfId="1" applyFont="1" applyFill="1" applyBorder="1" applyAlignment="1">
      <alignment horizontal="center" vertical="center" shrinkToFit="1"/>
    </xf>
    <xf numFmtId="0" fontId="13" fillId="0" borderId="6" xfId="1" applyFont="1" applyFill="1" applyBorder="1" applyAlignment="1">
      <alignment horizontal="center" vertical="center" shrinkToFit="1"/>
    </xf>
    <xf numFmtId="0" fontId="11" fillId="0" borderId="5" xfId="1" applyFont="1" applyFill="1" applyBorder="1" applyAlignment="1">
      <alignment horizontal="center" vertical="center" shrinkToFit="1"/>
    </xf>
    <xf numFmtId="0" fontId="11" fillId="0" borderId="4" xfId="1" applyFont="1" applyFill="1" applyBorder="1" applyAlignment="1">
      <alignment horizontal="center" vertical="center" shrinkToFit="1"/>
    </xf>
    <xf numFmtId="0" fontId="10" fillId="0" borderId="38" xfId="1" applyFont="1" applyFill="1" applyBorder="1" applyAlignment="1">
      <alignment horizontal="center" vertical="center" shrinkToFit="1"/>
    </xf>
    <xf numFmtId="0" fontId="0" fillId="0" borderId="94" xfId="0" applyFill="1" applyBorder="1" applyAlignment="1">
      <alignment horizontal="center" vertical="center" shrinkToFit="1"/>
    </xf>
    <xf numFmtId="0" fontId="5" fillId="8" borderId="60" xfId="0" applyFont="1" applyFill="1" applyBorder="1" applyAlignment="1">
      <alignment horizontal="center" vertical="center" shrinkToFit="1"/>
    </xf>
    <xf numFmtId="0" fontId="4" fillId="5" borderId="14" xfId="1" applyFont="1" applyFill="1" applyBorder="1" applyAlignment="1">
      <alignment horizontal="center" vertical="center" shrinkToFit="1"/>
    </xf>
    <xf numFmtId="178" fontId="7" fillId="7" borderId="25" xfId="1" applyNumberFormat="1" applyFont="1" applyFill="1" applyBorder="1" applyAlignment="1">
      <alignment horizontal="center" vertical="center" shrinkToFit="1"/>
    </xf>
    <xf numFmtId="0" fontId="11" fillId="4" borderId="24" xfId="0" applyFont="1" applyFill="1" applyBorder="1" applyAlignment="1">
      <alignment horizontal="center" vertical="center" shrinkToFit="1"/>
    </xf>
    <xf numFmtId="0" fontId="19" fillId="6" borderId="93" xfId="1" applyFont="1" applyFill="1" applyBorder="1" applyAlignment="1">
      <alignment horizontal="center" vertical="center" shrinkToFit="1"/>
    </xf>
    <xf numFmtId="0" fontId="20" fillId="6" borderId="93" xfId="1" applyFont="1" applyFill="1" applyBorder="1" applyAlignment="1">
      <alignment horizontal="center" vertical="center" shrinkToFit="1"/>
    </xf>
    <xf numFmtId="0" fontId="4" fillId="4" borderId="36" xfId="0" applyFont="1" applyFill="1" applyBorder="1" applyAlignment="1">
      <alignment horizontal="center" vertical="center" shrinkToFit="1"/>
    </xf>
    <xf numFmtId="0" fontId="10" fillId="6" borderId="7" xfId="1" applyFont="1" applyFill="1" applyBorder="1" applyAlignment="1">
      <alignment horizontal="center" vertical="center" shrinkToFit="1"/>
    </xf>
    <xf numFmtId="0" fontId="4" fillId="4" borderId="7" xfId="1" applyFont="1" applyFill="1" applyBorder="1" applyAlignment="1">
      <alignment horizontal="center" vertical="center" shrinkToFit="1"/>
    </xf>
    <xf numFmtId="0" fontId="10" fillId="6" borderId="25" xfId="0" applyFont="1" applyFill="1" applyBorder="1" applyAlignment="1">
      <alignment horizontal="center" vertical="center" shrinkToFit="1"/>
    </xf>
    <xf numFmtId="0" fontId="10" fillId="6" borderId="8" xfId="1" applyFont="1" applyFill="1" applyBorder="1" applyAlignment="1">
      <alignment horizontal="center" vertical="center" shrinkToFit="1"/>
    </xf>
    <xf numFmtId="0" fontId="4" fillId="4" borderId="8" xfId="1" applyFont="1" applyFill="1" applyBorder="1" applyAlignment="1">
      <alignment horizontal="center" vertical="center" shrinkToFit="1"/>
    </xf>
    <xf numFmtId="0" fontId="10" fillId="6" borderId="32" xfId="0" applyFont="1" applyFill="1" applyBorder="1" applyAlignment="1">
      <alignment horizontal="center" vertical="center" shrinkToFit="1"/>
    </xf>
    <xf numFmtId="0" fontId="4" fillId="5" borderId="3" xfId="1" applyFont="1" applyFill="1" applyBorder="1" applyAlignment="1">
      <alignment horizontal="center" vertical="center" shrinkToFit="1"/>
    </xf>
    <xf numFmtId="0" fontId="11" fillId="4" borderId="22" xfId="0" applyFont="1" applyFill="1" applyBorder="1" applyAlignment="1">
      <alignment horizontal="center" vertical="center" shrinkToFit="1"/>
    </xf>
    <xf numFmtId="0" fontId="9" fillId="6" borderId="32" xfId="1" applyFont="1" applyFill="1" applyBorder="1" applyAlignment="1">
      <alignment horizontal="center" vertical="center" shrinkToFit="1"/>
    </xf>
    <xf numFmtId="0" fontId="15" fillId="6" borderId="24" xfId="0" applyFont="1" applyFill="1" applyBorder="1" applyAlignment="1">
      <alignment horizontal="center" vertical="center" shrinkToFit="1"/>
    </xf>
    <xf numFmtId="0" fontId="15" fillId="6" borderId="15" xfId="0" applyFont="1" applyFill="1" applyBorder="1" applyAlignment="1">
      <alignment horizontal="center" vertical="center" shrinkToFit="1"/>
    </xf>
    <xf numFmtId="0" fontId="13" fillId="4" borderId="91" xfId="1" applyFont="1" applyFill="1" applyBorder="1" applyAlignment="1">
      <alignment horizontal="center" vertical="center" shrinkToFit="1"/>
    </xf>
    <xf numFmtId="0" fontId="13" fillId="0" borderId="2" xfId="1" applyFont="1" applyFill="1" applyBorder="1" applyAlignment="1">
      <alignment horizontal="center" vertical="center" shrinkToFit="1"/>
    </xf>
    <xf numFmtId="0" fontId="13" fillId="0" borderId="7" xfId="1" applyFont="1" applyFill="1" applyBorder="1" applyAlignment="1">
      <alignment horizontal="center" vertical="center" shrinkToFit="1"/>
    </xf>
    <xf numFmtId="0" fontId="13" fillId="0" borderId="7" xfId="1" applyNumberFormat="1" applyFont="1" applyFill="1" applyBorder="1" applyAlignment="1">
      <alignment horizontal="center" vertical="center" shrinkToFit="1"/>
    </xf>
    <xf numFmtId="0" fontId="13" fillId="6" borderId="7" xfId="1" applyFont="1" applyFill="1" applyBorder="1" applyAlignment="1">
      <alignment horizontal="center" vertical="center" shrinkToFit="1"/>
    </xf>
    <xf numFmtId="0" fontId="10" fillId="6" borderId="25" xfId="1" applyFont="1" applyFill="1" applyBorder="1" applyAlignment="1">
      <alignment horizontal="center" vertical="center" shrinkToFit="1"/>
    </xf>
    <xf numFmtId="0" fontId="9" fillId="4" borderId="38" xfId="1" applyFont="1" applyFill="1" applyBorder="1" applyAlignment="1">
      <alignment horizontal="center" vertical="center" shrinkToFit="1"/>
    </xf>
    <xf numFmtId="0" fontId="4" fillId="5" borderId="8" xfId="1" applyFont="1" applyFill="1" applyBorder="1" applyAlignment="1">
      <alignment horizontal="center" vertical="center" shrinkToFit="1"/>
    </xf>
    <xf numFmtId="0" fontId="9" fillId="6" borderId="25" xfId="1" applyFont="1" applyFill="1" applyBorder="1" applyAlignment="1">
      <alignment horizontal="center" vertical="center" shrinkToFit="1"/>
    </xf>
    <xf numFmtId="0" fontId="15" fillId="6" borderId="22" xfId="0" applyFont="1" applyFill="1" applyBorder="1" applyAlignment="1">
      <alignment horizontal="center" vertical="center" shrinkToFit="1"/>
    </xf>
    <xf numFmtId="0" fontId="15" fillId="6" borderId="5" xfId="0" applyFont="1" applyFill="1" applyBorder="1" applyAlignment="1">
      <alignment horizontal="center" vertical="center" shrinkToFit="1"/>
    </xf>
    <xf numFmtId="0" fontId="13" fillId="4" borderId="86" xfId="1" applyFont="1" applyFill="1" applyBorder="1" applyAlignment="1">
      <alignment horizontal="center" vertical="center" shrinkToFit="1"/>
    </xf>
    <xf numFmtId="0" fontId="13" fillId="7" borderId="89" xfId="1" applyFont="1" applyFill="1" applyBorder="1" applyAlignment="1">
      <alignment horizontal="center" vertical="center" shrinkToFit="1"/>
    </xf>
    <xf numFmtId="0" fontId="12" fillId="7" borderId="90" xfId="1" applyFont="1" applyFill="1" applyBorder="1" applyAlignment="1">
      <alignment horizontal="center" vertical="center" shrinkToFit="1"/>
    </xf>
    <xf numFmtId="0" fontId="15" fillId="6" borderId="40" xfId="0" applyFont="1" applyFill="1" applyBorder="1" applyAlignment="1">
      <alignment horizontal="center" vertical="center" shrinkToFit="1"/>
    </xf>
    <xf numFmtId="0" fontId="16" fillId="3" borderId="0" xfId="1" applyFont="1" applyFill="1" applyBorder="1" applyAlignment="1">
      <alignment horizontal="center" vertical="center" shrinkToFit="1"/>
    </xf>
    <xf numFmtId="0" fontId="0" fillId="4" borderId="86" xfId="0" applyFont="1" applyFill="1" applyBorder="1" applyAlignment="1">
      <alignment horizontal="center" vertical="center" shrinkToFit="1"/>
    </xf>
    <xf numFmtId="0" fontId="9" fillId="4" borderId="2" xfId="1" applyFont="1" applyFill="1" applyBorder="1" applyAlignment="1">
      <alignment horizontal="center" vertical="center" shrinkToFit="1"/>
    </xf>
    <xf numFmtId="176" fontId="10" fillId="6" borderId="25" xfId="1" applyNumberFormat="1" applyFont="1" applyFill="1" applyBorder="1" applyAlignment="1">
      <alignment horizontal="center" vertical="center" shrinkToFit="1"/>
    </xf>
    <xf numFmtId="0" fontId="11" fillId="4" borderId="38" xfId="0" applyFont="1" applyFill="1" applyBorder="1" applyAlignment="1">
      <alignment horizontal="center" vertical="center" shrinkToFit="1"/>
    </xf>
    <xf numFmtId="0" fontId="13" fillId="4" borderId="7" xfId="1" applyFont="1" applyFill="1" applyBorder="1" applyAlignment="1">
      <alignment horizontal="center" vertical="center" shrinkToFit="1"/>
    </xf>
    <xf numFmtId="0" fontId="14" fillId="8" borderId="25" xfId="1" applyFont="1" applyFill="1" applyBorder="1" applyAlignment="1">
      <alignment horizontal="center" vertical="center" shrinkToFit="1"/>
    </xf>
    <xf numFmtId="0" fontId="9" fillId="4" borderId="87" xfId="1" applyFont="1" applyFill="1" applyBorder="1" applyAlignment="1">
      <alignment horizontal="center" vertical="center" shrinkToFit="1"/>
    </xf>
    <xf numFmtId="177" fontId="10" fillId="6" borderId="88" xfId="1" applyNumberFormat="1" applyFont="1" applyFill="1" applyBorder="1" applyAlignment="1">
      <alignment horizontal="center" vertical="center" shrinkToFit="1"/>
    </xf>
    <xf numFmtId="0" fontId="5" fillId="8" borderId="60" xfId="1" applyFont="1" applyFill="1" applyBorder="1" applyAlignment="1">
      <alignment horizontal="center" vertical="center" shrinkToFit="1"/>
    </xf>
    <xf numFmtId="0" fontId="5" fillId="8" borderId="23" xfId="1" applyFont="1" applyFill="1" applyBorder="1" applyAlignment="1">
      <alignment horizontal="center" vertical="center" shrinkToFit="1"/>
    </xf>
    <xf numFmtId="0" fontId="6" fillId="0" borderId="3" xfId="1" applyFont="1" applyFill="1" applyBorder="1" applyAlignment="1">
      <alignment horizontal="center" vertical="center" shrinkToFit="1"/>
    </xf>
    <xf numFmtId="0" fontId="7" fillId="5" borderId="2" xfId="1" applyFont="1" applyFill="1" applyBorder="1" applyAlignment="1">
      <alignment horizontal="center" vertical="center" shrinkToFit="1"/>
    </xf>
    <xf numFmtId="0" fontId="4" fillId="5" borderId="25" xfId="1" applyFont="1" applyFill="1" applyBorder="1" applyAlignment="1">
      <alignment horizontal="center" vertical="center" shrinkToFit="1"/>
    </xf>
    <xf numFmtId="0" fontId="8" fillId="4" borderId="2" xfId="1" applyFont="1" applyFill="1" applyBorder="1" applyAlignment="1">
      <alignment horizontal="center" vertical="center" shrinkToFit="1"/>
    </xf>
    <xf numFmtId="0" fontId="9" fillId="6" borderId="25" xfId="0" applyFont="1" applyFill="1" applyBorder="1" applyAlignment="1">
      <alignment horizontal="center" vertical="center" shrinkToFit="1"/>
    </xf>
    <xf numFmtId="0" fontId="40" fillId="6" borderId="115" xfId="0" applyFont="1" applyFill="1" applyBorder="1" applyAlignment="1">
      <alignment horizontal="center" vertical="center" shrinkToFit="1"/>
    </xf>
    <xf numFmtId="0" fontId="11" fillId="5" borderId="25" xfId="0" applyFont="1" applyFill="1" applyBorder="1" applyAlignment="1">
      <alignment horizontal="center" vertical="center" shrinkToFit="1"/>
    </xf>
    <xf numFmtId="0" fontId="39" fillId="4" borderId="2" xfId="0" applyFont="1" applyFill="1" applyBorder="1" applyAlignment="1">
      <alignment horizontal="center" vertical="center"/>
    </xf>
    <xf numFmtId="0" fontId="39" fillId="4" borderId="7" xfId="0" applyFont="1" applyFill="1" applyBorder="1" applyAlignment="1">
      <alignment horizontal="center" vertical="center"/>
    </xf>
    <xf numFmtId="0" fontId="39" fillId="4" borderId="25" xfId="0" applyFont="1" applyFill="1" applyBorder="1" applyAlignment="1">
      <alignment horizontal="center" vertical="center"/>
    </xf>
    <xf numFmtId="0" fontId="44" fillId="23" borderId="54" xfId="0" applyFont="1" applyFill="1" applyBorder="1" applyAlignment="1">
      <alignment horizontal="left" vertical="center" wrapText="1" indent="1" shrinkToFit="1"/>
    </xf>
    <xf numFmtId="0" fontId="0" fillId="6" borderId="2" xfId="0" applyFont="1" applyFill="1" applyBorder="1" applyAlignment="1">
      <alignment horizontal="center" vertical="center" shrinkToFit="1"/>
    </xf>
    <xf numFmtId="0" fontId="0" fillId="6" borderId="7" xfId="0" applyFont="1" applyFill="1" applyBorder="1" applyAlignment="1">
      <alignment horizontal="center" vertical="center" shrinkToFit="1"/>
    </xf>
    <xf numFmtId="0" fontId="43" fillId="8" borderId="95" xfId="0" applyFont="1" applyFill="1" applyBorder="1" applyAlignment="1">
      <alignment horizontal="center" vertical="center" shrinkToFit="1"/>
    </xf>
    <xf numFmtId="0" fontId="12" fillId="5" borderId="116" xfId="0" applyFont="1" applyFill="1" applyBorder="1" applyAlignment="1">
      <alignment horizontal="left" vertical="center" wrapText="1" indent="1" shrinkToFit="1"/>
    </xf>
    <xf numFmtId="0" fontId="38" fillId="8" borderId="60" xfId="0" applyFont="1" applyFill="1" applyBorder="1" applyAlignment="1">
      <alignment horizontal="center" vertical="center"/>
    </xf>
    <xf numFmtId="0" fontId="39" fillId="4" borderId="59" xfId="0" applyFont="1" applyFill="1" applyBorder="1" applyAlignment="1">
      <alignment horizontal="center" vertical="center"/>
    </xf>
    <xf numFmtId="0" fontId="28" fillId="5" borderId="2" xfId="0" applyFont="1" applyFill="1" applyBorder="1" applyAlignment="1">
      <alignment horizontal="center" vertical="center" shrinkToFit="1"/>
    </xf>
    <xf numFmtId="0" fontId="40" fillId="6" borderId="7" xfId="0" applyFont="1" applyFill="1" applyBorder="1" applyAlignment="1">
      <alignment horizontal="center" vertical="center" shrinkToFit="1"/>
    </xf>
    <xf numFmtId="0" fontId="11" fillId="5" borderId="7" xfId="0" applyFont="1" applyFill="1" applyBorder="1" applyAlignment="1">
      <alignment horizontal="center" vertical="center" shrinkToFit="1"/>
    </xf>
    <xf numFmtId="0" fontId="11" fillId="0" borderId="25" xfId="0" applyFont="1" applyBorder="1" applyAlignment="1">
      <alignment horizontal="center" vertical="center" shrinkToFit="1"/>
    </xf>
    <xf numFmtId="0" fontId="41" fillId="5" borderId="2" xfId="0" applyFont="1" applyFill="1" applyBorder="1" applyAlignment="1">
      <alignment horizontal="center" vertical="center" shrinkToFit="1"/>
    </xf>
    <xf numFmtId="0" fontId="42" fillId="6" borderId="7" xfId="0" applyFont="1" applyFill="1" applyBorder="1" applyAlignment="1">
      <alignment horizontal="center" vertical="center" shrinkToFit="1"/>
    </xf>
    <xf numFmtId="0" fontId="28" fillId="4" borderId="85" xfId="0" applyFont="1" applyFill="1" applyBorder="1" applyAlignment="1">
      <alignment horizontal="center" vertical="center" wrapText="1" shrinkToFit="1"/>
    </xf>
    <xf numFmtId="0" fontId="2" fillId="4" borderId="36" xfId="0" applyFont="1" applyFill="1" applyBorder="1" applyAlignment="1">
      <alignment horizontal="center" vertical="center" shrinkToFit="1"/>
    </xf>
    <xf numFmtId="0" fontId="28" fillId="7" borderId="8" xfId="0" applyFont="1" applyFill="1" applyBorder="1" applyAlignment="1">
      <alignment horizontal="center" vertical="center" shrinkToFit="1"/>
    </xf>
    <xf numFmtId="0" fontId="2" fillId="4" borderId="8" xfId="0" applyFont="1" applyFill="1" applyBorder="1" applyAlignment="1">
      <alignment horizontal="center" vertical="center" shrinkToFit="1"/>
    </xf>
    <xf numFmtId="0" fontId="28" fillId="7" borderId="32" xfId="0" applyFont="1" applyFill="1" applyBorder="1" applyAlignment="1">
      <alignment horizontal="center" vertical="center" shrinkToFit="1"/>
    </xf>
    <xf numFmtId="0" fontId="8" fillId="5" borderId="94" xfId="1" applyFont="1" applyFill="1" applyBorder="1" applyAlignment="1">
      <alignment horizontal="left" vertical="center" wrapText="1" indent="1" shrinkToFit="1"/>
    </xf>
    <xf numFmtId="0" fontId="46" fillId="8" borderId="85" xfId="1" applyFont="1" applyFill="1" applyBorder="1" applyAlignment="1">
      <alignment horizontal="center" vertical="center" shrinkToFit="1"/>
    </xf>
    <xf numFmtId="0" fontId="33" fillId="8" borderId="60" xfId="1" applyFont="1" applyFill="1" applyBorder="1" applyAlignment="1">
      <alignment horizontal="center" vertical="center" shrinkToFit="1"/>
    </xf>
    <xf numFmtId="0" fontId="9" fillId="5" borderId="23" xfId="1" applyFont="1" applyFill="1" applyBorder="1" applyAlignment="1">
      <alignment horizontal="center" vertical="center" shrinkToFit="1"/>
    </xf>
    <xf numFmtId="0" fontId="9" fillId="7" borderId="7" xfId="1" applyFont="1" applyFill="1" applyBorder="1" applyAlignment="1">
      <alignment horizontal="center" vertical="center" shrinkToFit="1"/>
    </xf>
    <xf numFmtId="0" fontId="9" fillId="7" borderId="25" xfId="1" applyFont="1" applyFill="1" applyBorder="1" applyAlignment="1">
      <alignment horizontal="center" vertical="center" shrinkToFit="1"/>
    </xf>
    <xf numFmtId="0" fontId="9" fillId="4" borderId="95" xfId="1" applyFont="1" applyFill="1" applyBorder="1" applyAlignment="1">
      <alignment horizontal="center" vertical="center" shrinkToFit="1"/>
    </xf>
    <xf numFmtId="0" fontId="33" fillId="8" borderId="85" xfId="0" applyFont="1" applyFill="1" applyBorder="1" applyAlignment="1">
      <alignment horizontal="center" vertical="center" indent="1" shrinkToFit="1"/>
    </xf>
    <xf numFmtId="0" fontId="33" fillId="8" borderId="85" xfId="0" applyFont="1" applyFill="1" applyBorder="1" applyAlignment="1">
      <alignment horizontal="center" vertical="center" shrinkToFit="1"/>
    </xf>
    <xf numFmtId="0" fontId="46" fillId="8" borderId="85" xfId="0" applyFont="1" applyFill="1" applyBorder="1" applyAlignment="1">
      <alignment horizontal="center" vertical="center" shrinkToFit="1"/>
    </xf>
    <xf numFmtId="0" fontId="0" fillId="0" borderId="94" xfId="0" applyFont="1" applyFill="1" applyBorder="1" applyAlignment="1">
      <alignment horizontal="right" shrinkToFit="1"/>
    </xf>
    <xf numFmtId="0" fontId="33" fillId="8" borderId="60" xfId="0" applyFont="1" applyFill="1" applyBorder="1" applyAlignment="1">
      <alignment horizontal="center" vertical="center" shrinkToFit="1"/>
    </xf>
    <xf numFmtId="0" fontId="33" fillId="8" borderId="92" xfId="0" applyFont="1" applyFill="1" applyBorder="1" applyAlignment="1">
      <alignment horizontal="left" vertical="center" indent="1" shrinkToFit="1"/>
    </xf>
    <xf numFmtId="0" fontId="28" fillId="5" borderId="89" xfId="0" applyFont="1" applyFill="1" applyBorder="1" applyAlignment="1">
      <alignment horizontal="center" vertical="center" shrinkToFit="1"/>
    </xf>
    <xf numFmtId="0" fontId="33" fillId="8" borderId="89" xfId="0" applyFont="1" applyFill="1" applyBorder="1" applyAlignment="1">
      <alignment horizontal="left" vertical="center" indent="1" shrinkToFit="1"/>
    </xf>
    <xf numFmtId="0" fontId="28" fillId="6" borderId="90" xfId="0" applyFont="1" applyFill="1" applyBorder="1" applyAlignment="1">
      <alignment horizontal="center" vertical="center" shrinkToFit="1"/>
    </xf>
    <xf numFmtId="0" fontId="0" fillId="6" borderId="90" xfId="0" applyFont="1" applyFill="1" applyBorder="1" applyAlignment="1">
      <alignment horizontal="center" vertical="center" shrinkToFit="1"/>
    </xf>
    <xf numFmtId="0" fontId="45" fillId="7" borderId="89" xfId="0" applyFont="1" applyFill="1" applyBorder="1" applyAlignment="1">
      <alignment horizontal="center" vertical="center" shrinkToFit="1"/>
    </xf>
    <xf numFmtId="0" fontId="10" fillId="6" borderId="90" xfId="1" applyFont="1" applyFill="1" applyBorder="1" applyAlignment="1">
      <alignment horizontal="center" vertical="center" shrinkToFit="1"/>
    </xf>
    <xf numFmtId="0" fontId="52" fillId="2" borderId="18" xfId="0" applyNumberFormat="1" applyFont="1" applyFill="1" applyBorder="1" applyAlignment="1">
      <alignment horizontal="center" vertical="center" shrinkToFit="1"/>
    </xf>
    <xf numFmtId="0" fontId="31" fillId="0" borderId="63" xfId="0" applyNumberFormat="1" applyFont="1" applyBorder="1" applyAlignment="1">
      <alignment horizontal="center" vertical="center" shrinkToFit="1"/>
    </xf>
    <xf numFmtId="0" fontId="31" fillId="0" borderId="1" xfId="0" applyNumberFormat="1" applyFont="1" applyBorder="1" applyAlignment="1">
      <alignment horizontal="center" vertical="center" shrinkToFit="1"/>
    </xf>
    <xf numFmtId="0" fontId="31" fillId="0" borderId="129" xfId="0" applyFont="1" applyBorder="1" applyAlignment="1">
      <alignment horizontal="center" vertical="center"/>
    </xf>
    <xf numFmtId="0" fontId="0" fillId="0" borderId="130" xfId="0" applyBorder="1" applyAlignment="1">
      <alignment horizontal="center" vertical="center"/>
    </xf>
    <xf numFmtId="0" fontId="50" fillId="2" borderId="131" xfId="0" applyNumberFormat="1" applyFont="1" applyFill="1" applyBorder="1" applyAlignment="1">
      <alignment horizontal="center" vertical="center" shrinkToFit="1"/>
    </xf>
    <xf numFmtId="0" fontId="51" fillId="15" borderId="74" xfId="0" applyNumberFormat="1" applyFont="1" applyFill="1" applyBorder="1" applyAlignment="1">
      <alignment horizontal="center" vertical="center" shrinkToFit="1"/>
    </xf>
    <xf numFmtId="0" fontId="31" fillId="5" borderId="74" xfId="0" applyNumberFormat="1" applyFont="1" applyFill="1" applyBorder="1" applyAlignment="1">
      <alignment horizontal="center" vertical="center" shrinkToFit="1"/>
    </xf>
    <xf numFmtId="0" fontId="49" fillId="0" borderId="86" xfId="0" applyNumberFormat="1" applyFont="1" applyBorder="1" applyAlignment="1">
      <alignment horizontal="center" vertical="center" shrinkToFit="1"/>
    </xf>
    <xf numFmtId="0" fontId="49" fillId="0" borderId="63" xfId="0" applyNumberFormat="1" applyFont="1" applyBorder="1" applyAlignment="1">
      <alignment horizontal="center" vertical="center" shrinkToFit="1"/>
    </xf>
    <xf numFmtId="0" fontId="31" fillId="0" borderId="74" xfId="0" applyFont="1" applyBorder="1" applyAlignment="1">
      <alignment horizontal="center" vertical="center" shrinkToFit="1"/>
    </xf>
    <xf numFmtId="0" fontId="31" fillId="3" borderId="4" xfId="0" applyNumberFormat="1" applyFont="1" applyFill="1" applyBorder="1" applyAlignment="1">
      <alignment horizontal="center" vertical="center" shrinkToFit="1"/>
    </xf>
    <xf numFmtId="0" fontId="31" fillId="3" borderId="40" xfId="0" applyNumberFormat="1" applyFont="1" applyFill="1" applyBorder="1" applyAlignment="1">
      <alignment horizontal="center" vertical="center" shrinkToFit="1"/>
    </xf>
    <xf numFmtId="0" fontId="52" fillId="16" borderId="18" xfId="0" applyNumberFormat="1" applyFont="1" applyFill="1" applyBorder="1" applyAlignment="1">
      <alignment horizontal="center" vertical="center" shrinkToFit="1"/>
    </xf>
    <xf numFmtId="0" fontId="52" fillId="7" borderId="18" xfId="0" applyNumberFormat="1" applyFont="1" applyFill="1" applyBorder="1" applyAlignment="1">
      <alignment horizontal="center" vertical="center" shrinkToFit="1"/>
    </xf>
    <xf numFmtId="0" fontId="31" fillId="3" borderId="6" xfId="0" applyNumberFormat="1" applyFont="1" applyFill="1" applyBorder="1" applyAlignment="1">
      <alignment horizontal="center" vertical="center" shrinkToFit="1"/>
    </xf>
    <xf numFmtId="0" fontId="52" fillId="6" borderId="18" xfId="0" applyNumberFormat="1" applyFont="1" applyFill="1" applyBorder="1" applyAlignment="1">
      <alignment horizontal="center" vertical="center" shrinkToFit="1"/>
    </xf>
    <xf numFmtId="0" fontId="47" fillId="8" borderId="126" xfId="0" applyNumberFormat="1" applyFont="1" applyFill="1" applyBorder="1" applyAlignment="1">
      <alignment horizontal="center" vertical="center" shrinkToFit="1"/>
    </xf>
    <xf numFmtId="0" fontId="48" fillId="8" borderId="127" xfId="0" applyNumberFormat="1" applyFont="1" applyFill="1" applyBorder="1" applyAlignment="1">
      <alignment horizontal="center" vertical="center" shrinkToFit="1"/>
    </xf>
    <xf numFmtId="0" fontId="47" fillId="8" borderId="128" xfId="0" applyNumberFormat="1" applyFont="1" applyFill="1" applyBorder="1" applyAlignment="1">
      <alignment horizontal="center" vertical="center" shrinkToFit="1"/>
    </xf>
    <xf numFmtId="0" fontId="0" fillId="7" borderId="0" xfId="0" applyFill="1" applyBorder="1" applyAlignment="1">
      <alignment horizontal="center" vertical="center"/>
    </xf>
    <xf numFmtId="0" fontId="0" fillId="6" borderId="6" xfId="0" applyFont="1" applyFill="1" applyBorder="1" applyAlignment="1">
      <alignment horizontal="center" vertical="center"/>
    </xf>
    <xf numFmtId="0" fontId="51" fillId="15" borderId="124" xfId="0" applyNumberFormat="1" applyFont="1" applyFill="1" applyBorder="1" applyAlignment="1">
      <alignment horizontal="center" vertical="center" shrinkToFit="1"/>
    </xf>
    <xf numFmtId="0" fontId="31" fillId="5" borderId="125" xfId="0" applyNumberFormat="1" applyFont="1" applyFill="1" applyBorder="1" applyAlignment="1">
      <alignment horizontal="center" vertical="center" shrinkToFit="1"/>
    </xf>
    <xf numFmtId="0" fontId="31" fillId="15" borderId="5" xfId="0" applyNumberFormat="1" applyFont="1" applyFill="1" applyBorder="1" applyAlignment="1">
      <alignment horizontal="center" vertical="center" shrinkToFit="1"/>
    </xf>
    <xf numFmtId="0" fontId="47" fillId="8" borderId="18" xfId="0" applyNumberFormat="1" applyFont="1" applyFill="1" applyBorder="1" applyAlignment="1">
      <alignment horizontal="center" vertical="center" shrinkToFit="1"/>
    </xf>
    <xf numFmtId="0" fontId="47" fillId="8" borderId="6" xfId="0" applyNumberFormat="1" applyFont="1" applyFill="1" applyBorder="1" applyAlignment="1">
      <alignment horizontal="center" vertical="center" shrinkToFit="1"/>
    </xf>
    <xf numFmtId="0" fontId="31" fillId="15" borderId="15" xfId="0" applyNumberFormat="1" applyFont="1" applyFill="1" applyBorder="1" applyAlignment="1">
      <alignment horizontal="center" vertical="center" shrinkToFit="1"/>
    </xf>
    <xf numFmtId="0" fontId="0" fillId="7" borderId="0" xfId="0" applyFill="1" applyBorder="1" applyAlignment="1">
      <alignment horizontal="center" vertical="center" shrinkToFit="1"/>
    </xf>
    <xf numFmtId="0" fontId="0" fillId="7" borderId="6" xfId="0" applyFont="1" applyFill="1" applyBorder="1" applyAlignment="1">
      <alignment horizontal="center" vertical="center" shrinkToFit="1"/>
    </xf>
    <xf numFmtId="187" fontId="0" fillId="7" borderId="6" xfId="0" applyNumberFormat="1" applyFont="1" applyFill="1" applyBorder="1" applyAlignment="1">
      <alignment horizontal="center" vertical="center" shrinkToFit="1"/>
    </xf>
    <xf numFmtId="0" fontId="31" fillId="0" borderId="119" xfId="0" applyNumberFormat="1" applyFont="1" applyBorder="1" applyAlignment="1">
      <alignment horizontal="center" vertical="center" shrinkToFit="1"/>
    </xf>
    <xf numFmtId="0" fontId="31" fillId="0" borderId="120" xfId="0" applyNumberFormat="1" applyFont="1" applyBorder="1" applyAlignment="1">
      <alignment horizontal="center" vertical="center" shrinkToFit="1"/>
    </xf>
    <xf numFmtId="0" fontId="31" fillId="6" borderId="6" xfId="0" applyNumberFormat="1" applyFont="1" applyFill="1" applyBorder="1" applyAlignment="1">
      <alignment horizontal="center" vertical="center" shrinkToFit="1"/>
    </xf>
    <xf numFmtId="0" fontId="50" fillId="2" borderId="121" xfId="0" applyNumberFormat="1" applyFont="1" applyFill="1" applyBorder="1" applyAlignment="1">
      <alignment horizontal="center" vertical="center" shrinkToFit="1"/>
    </xf>
    <xf numFmtId="0" fontId="50" fillId="7" borderId="122" xfId="0" applyNumberFormat="1" applyFont="1" applyFill="1" applyBorder="1" applyAlignment="1">
      <alignment horizontal="center" vertical="center" shrinkToFit="1"/>
    </xf>
    <xf numFmtId="0" fontId="50" fillId="6" borderId="123" xfId="0" applyNumberFormat="1" applyFont="1" applyFill="1" applyBorder="1" applyAlignment="1">
      <alignment horizontal="center" vertical="center" shrinkToFit="1"/>
    </xf>
    <xf numFmtId="0" fontId="31" fillId="0" borderId="63" xfId="0" applyNumberFormat="1" applyFont="1" applyBorder="1" applyAlignment="1">
      <alignment horizontal="center" vertical="center" wrapText="1" shrinkToFit="1"/>
    </xf>
    <xf numFmtId="0" fontId="31" fillId="0" borderId="1" xfId="0" applyNumberFormat="1" applyFont="1" applyBorder="1" applyAlignment="1">
      <alignment horizontal="center" vertical="center" wrapText="1" shrinkToFit="1"/>
    </xf>
    <xf numFmtId="0" fontId="47" fillId="8" borderId="117" xfId="0" applyNumberFormat="1" applyFont="1" applyFill="1" applyBorder="1" applyAlignment="1">
      <alignment horizontal="center" vertical="center" shrinkToFit="1"/>
    </xf>
    <xf numFmtId="0" fontId="48" fillId="8" borderId="118" xfId="0" applyNumberFormat="1" applyFont="1" applyFill="1" applyBorder="1" applyAlignment="1">
      <alignment horizontal="center" vertical="center" shrinkToFit="1"/>
    </xf>
    <xf numFmtId="0" fontId="47" fillId="8" borderId="9" xfId="0" applyNumberFormat="1" applyFont="1" applyFill="1" applyBorder="1" applyAlignment="1">
      <alignment horizontal="center" vertical="center" shrinkToFit="1"/>
    </xf>
    <xf numFmtId="0" fontId="47" fillId="8" borderId="4" xfId="0" applyNumberFormat="1" applyFont="1" applyFill="1" applyBorder="1" applyAlignment="1">
      <alignment horizontal="center" vertical="center" shrinkToFit="1"/>
    </xf>
    <xf numFmtId="0" fontId="0" fillId="0" borderId="9" xfId="0" applyFont="1" applyBorder="1" applyAlignment="1">
      <alignment horizontal="center" vertical="center"/>
    </xf>
    <xf numFmtId="0" fontId="0" fillId="0" borderId="29" xfId="0" applyBorder="1"/>
    <xf numFmtId="0" fontId="31" fillId="0" borderId="86" xfId="0" applyNumberFormat="1" applyFont="1" applyBorder="1" applyAlignment="1">
      <alignment horizontal="center" vertical="center" wrapText="1" shrinkToFit="1"/>
    </xf>
    <xf numFmtId="0" fontId="0" fillId="4" borderId="134" xfId="0" applyFont="1" applyFill="1" applyBorder="1" applyAlignment="1">
      <alignment horizontal="center" vertical="center"/>
    </xf>
    <xf numFmtId="0" fontId="0" fillId="6" borderId="135" xfId="0" applyFont="1" applyFill="1" applyBorder="1" applyAlignment="1">
      <alignment horizontal="center" vertical="center" shrinkToFit="1"/>
    </xf>
    <xf numFmtId="0" fontId="0" fillId="4" borderId="136" xfId="0" applyFont="1" applyFill="1" applyBorder="1" applyAlignment="1">
      <alignment horizontal="center" vertical="center"/>
    </xf>
    <xf numFmtId="0" fontId="0" fillId="6" borderId="137" xfId="0" applyFont="1" applyFill="1" applyBorder="1" applyAlignment="1">
      <alignment horizontal="center" vertical="center" shrinkToFit="1"/>
    </xf>
    <xf numFmtId="0" fontId="33" fillId="19" borderId="132" xfId="0" applyFont="1" applyFill="1" applyBorder="1" applyAlignment="1">
      <alignment horizontal="center" vertical="center"/>
    </xf>
    <xf numFmtId="0" fontId="33" fillId="19" borderId="133" xfId="0" applyFont="1" applyFill="1" applyBorder="1" applyAlignment="1">
      <alignment horizontal="center" vertical="center"/>
    </xf>
    <xf numFmtId="0" fontId="23" fillId="5" borderId="2" xfId="0" applyFont="1" applyFill="1" applyBorder="1" applyAlignment="1">
      <alignment horizontal="center" vertical="center" shrinkToFit="1"/>
    </xf>
  </cellXfs>
  <cellStyles count="2">
    <cellStyle name="Excel Built-in Normal" xfId="1" xr:uid="{00000000-0005-0000-0000-000000000000}"/>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C23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DDDDDD"/>
      <rgbColor rgb="00FFFF99"/>
      <rgbColor rgb="0083CAFF"/>
      <rgbColor rgb="00FF99CC"/>
      <rgbColor rgb="00B2B2B2"/>
      <rgbColor rgb="00FFCC99"/>
      <rgbColor rgb="003366FF"/>
      <rgbColor rgb="0033CCCC"/>
      <rgbColor rgb="0094BD5E"/>
      <rgbColor rgb="00FFCC00"/>
      <rgbColor rgb="00FF9900"/>
      <rgbColor rgb="00FF6633"/>
      <rgbColor rgb="00666699"/>
      <rgbColor rgb="00999999"/>
      <rgbColor rgb="00003366"/>
      <rgbColor rgb="00339966"/>
      <rgbColor rgb="00003300"/>
      <rgbColor rgb="00393939"/>
      <rgbColor rgb="00993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22860</xdr:colOff>
      <xdr:row>13</xdr:row>
      <xdr:rowOff>137160</xdr:rowOff>
    </xdr:from>
    <xdr:to>
      <xdr:col>13</xdr:col>
      <xdr:colOff>662940</xdr:colOff>
      <xdr:row>32</xdr:row>
      <xdr:rowOff>137160</xdr:rowOff>
    </xdr:to>
    <xdr:pic>
      <xdr:nvPicPr>
        <xdr:cNvPr id="2094" name="図 2" descr="タクト.jpg">
          <a:extLst>
            <a:ext uri="{FF2B5EF4-FFF2-40B4-BE49-F238E27FC236}">
              <a16:creationId xmlns:a16="http://schemas.microsoft.com/office/drawing/2014/main" id="{00000000-0008-0000-0100-00002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7595" r="16869" b="41518"/>
        <a:stretch>
          <a:fillRect/>
        </a:stretch>
      </xdr:blipFill>
      <xdr:spPr bwMode="auto">
        <a:xfrm>
          <a:off x="6263640" y="2415540"/>
          <a:ext cx="3413760" cy="3329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45720</xdr:colOff>
          <xdr:row>11</xdr:row>
          <xdr:rowOff>167640</xdr:rowOff>
        </xdr:to>
        <xdr:sp macro="" textlink="">
          <xdr:nvSpPr>
            <xdr:cNvPr id="4097" name="察知" descr="察知"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45720</xdr:colOff>
          <xdr:row>12</xdr:row>
          <xdr:rowOff>167640</xdr:rowOff>
        </xdr:to>
        <xdr:sp macro="" textlink="">
          <xdr:nvSpPr>
            <xdr:cNvPr id="4098" name="技術" descr="技術"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45720</xdr:colOff>
          <xdr:row>13</xdr:row>
          <xdr:rowOff>167640</xdr:rowOff>
        </xdr:to>
        <xdr:sp macro="" textlink="">
          <xdr:nvSpPr>
            <xdr:cNvPr id="4099" name="俊敏" descr="俊敏"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45720</xdr:colOff>
          <xdr:row>14</xdr:row>
          <xdr:rowOff>167640</xdr:rowOff>
        </xdr:to>
        <xdr:sp macro="" textlink="">
          <xdr:nvSpPr>
            <xdr:cNvPr id="4100" name="読心" descr="読心"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45720</xdr:colOff>
          <xdr:row>15</xdr:row>
          <xdr:rowOff>167640</xdr:rowOff>
        </xdr:to>
        <xdr:sp macro="" textlink="">
          <xdr:nvSpPr>
            <xdr:cNvPr id="4101" name="幸運" descr="幸運"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45720</xdr:colOff>
          <xdr:row>15</xdr:row>
          <xdr:rowOff>167640</xdr:rowOff>
        </xdr:to>
        <xdr:sp macro="" textlink="">
          <xdr:nvSpPr>
            <xdr:cNvPr id="4102" name="閃き" descr="閃き"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45720</xdr:colOff>
          <xdr:row>14</xdr:row>
          <xdr:rowOff>167640</xdr:rowOff>
        </xdr:to>
        <xdr:sp macro="" textlink="">
          <xdr:nvSpPr>
            <xdr:cNvPr id="4103" name="話術" descr="話術"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45720</xdr:colOff>
          <xdr:row>13</xdr:row>
          <xdr:rowOff>167640</xdr:rowOff>
        </xdr:to>
        <xdr:sp macro="" textlink="">
          <xdr:nvSpPr>
            <xdr:cNvPr id="4104" name="隠密" descr="隠密"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45720</xdr:colOff>
          <xdr:row>12</xdr:row>
          <xdr:rowOff>167640</xdr:rowOff>
        </xdr:to>
        <xdr:sp macro="" textlink="">
          <xdr:nvSpPr>
            <xdr:cNvPr id="4105" name="知識" descr="知識"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45720</xdr:colOff>
          <xdr:row>11</xdr:row>
          <xdr:rowOff>167640</xdr:rowOff>
        </xdr:to>
        <xdr:sp macro="" textlink="">
          <xdr:nvSpPr>
            <xdr:cNvPr id="4106" name="観察眼" descr="観察眼"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45720</xdr:colOff>
          <xdr:row>10</xdr:row>
          <xdr:rowOff>167640</xdr:rowOff>
        </xdr:to>
        <xdr:sp macro="" textlink="">
          <xdr:nvSpPr>
            <xdr:cNvPr id="4107" name="力技" descr="力技"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45720</xdr:colOff>
          <xdr:row>10</xdr:row>
          <xdr:rowOff>167640</xdr:rowOff>
        </xdr:to>
        <xdr:sp macro="" textlink="">
          <xdr:nvSpPr>
            <xdr:cNvPr id="4108" name="威圧" descr="威圧"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55"/>
  <sheetViews>
    <sheetView workbookViewId="0"/>
  </sheetViews>
  <sheetFormatPr defaultColWidth="10.44140625" defaultRowHeight="14.4" x14ac:dyDescent="0.15"/>
  <cols>
    <col min="1" max="48" width="10.44140625" style="1"/>
    <col min="49" max="49" width="26" style="1" customWidth="1"/>
    <col min="50" max="54" width="10.44140625" style="1"/>
    <col min="55" max="55" width="35.77734375" style="1" customWidth="1"/>
    <col min="56" max="16384" width="10.44140625" style="1"/>
  </cols>
  <sheetData>
    <row r="1" spans="1:55" x14ac:dyDescent="0.15">
      <c r="A1" s="1" t="s">
        <v>700</v>
      </c>
      <c r="C1" s="1" t="s">
        <v>701</v>
      </c>
      <c r="D1" s="1" t="s">
        <v>701</v>
      </c>
      <c r="F1" s="1" t="s">
        <v>702</v>
      </c>
      <c r="H1" s="1" t="s">
        <v>703</v>
      </c>
      <c r="K1" s="1" t="s">
        <v>704</v>
      </c>
      <c r="M1" s="1" t="s">
        <v>705</v>
      </c>
      <c r="P1" s="1" t="s">
        <v>706</v>
      </c>
      <c r="R1" s="1" t="s">
        <v>707</v>
      </c>
      <c r="T1" s="1" t="s">
        <v>708</v>
      </c>
      <c r="V1" s="1" t="s">
        <v>709</v>
      </c>
      <c r="X1" s="1" t="s">
        <v>710</v>
      </c>
      <c r="Z1" s="1" t="s">
        <v>711</v>
      </c>
      <c r="AH1" s="1" t="s">
        <v>712</v>
      </c>
      <c r="AN1" s="1" t="s">
        <v>713</v>
      </c>
      <c r="AP1" s="1" t="s">
        <v>714</v>
      </c>
      <c r="AR1" s="1" t="s">
        <v>715</v>
      </c>
      <c r="AU1" s="1" t="s">
        <v>982</v>
      </c>
      <c r="AW1" s="1" t="s">
        <v>715</v>
      </c>
      <c r="AY1" s="1" t="s">
        <v>983</v>
      </c>
      <c r="BC1" s="1" t="s">
        <v>984</v>
      </c>
    </row>
    <row r="2" spans="1:55" x14ac:dyDescent="0.15">
      <c r="A2" s="2" t="s">
        <v>985</v>
      </c>
      <c r="C2" s="2" t="s">
        <v>985</v>
      </c>
      <c r="D2" s="2" t="s">
        <v>985</v>
      </c>
      <c r="F2" s="2" t="s">
        <v>985</v>
      </c>
      <c r="H2" s="2" t="s">
        <v>985</v>
      </c>
      <c r="K2" s="2" t="s">
        <v>985</v>
      </c>
      <c r="M2" s="2" t="s">
        <v>985</v>
      </c>
      <c r="P2" s="1" t="s">
        <v>986</v>
      </c>
      <c r="R2" s="1">
        <v>-2</v>
      </c>
      <c r="T2" s="2" t="s">
        <v>985</v>
      </c>
      <c r="V2" s="2" t="s">
        <v>985</v>
      </c>
      <c r="X2" s="2" t="s">
        <v>985</v>
      </c>
      <c r="Z2" s="2" t="s">
        <v>985</v>
      </c>
      <c r="AB2" s="2" t="s">
        <v>985</v>
      </c>
      <c r="AD2" s="2">
        <v>0</v>
      </c>
      <c r="AF2" s="2" t="s">
        <v>985</v>
      </c>
      <c r="AH2" s="2" t="s">
        <v>985</v>
      </c>
      <c r="AN2" s="2" t="s">
        <v>985</v>
      </c>
      <c r="AP2" s="2" t="s">
        <v>985</v>
      </c>
      <c r="AR2" s="2" t="s">
        <v>985</v>
      </c>
      <c r="AU2" s="2" t="s">
        <v>985</v>
      </c>
      <c r="AW2" s="2" t="s">
        <v>985</v>
      </c>
      <c r="AY2" s="2" t="s">
        <v>985</v>
      </c>
      <c r="BC2" s="2" t="s">
        <v>985</v>
      </c>
    </row>
    <row r="3" spans="1:55" ht="24" x14ac:dyDescent="0.15">
      <c r="A3" s="1" t="s">
        <v>987</v>
      </c>
      <c r="C3" s="1" t="s">
        <v>988</v>
      </c>
      <c r="D3" s="1" t="s">
        <v>989</v>
      </c>
      <c r="F3" s="3" t="s">
        <v>990</v>
      </c>
      <c r="H3" s="1" t="s">
        <v>991</v>
      </c>
      <c r="K3" s="1" t="s">
        <v>992</v>
      </c>
      <c r="M3" s="1" t="s">
        <v>993</v>
      </c>
      <c r="P3" s="1" t="s">
        <v>738</v>
      </c>
      <c r="R3" s="1">
        <v>-1</v>
      </c>
      <c r="T3" s="1" t="s">
        <v>739</v>
      </c>
      <c r="V3" s="1" t="s">
        <v>740</v>
      </c>
      <c r="X3" s="1" t="s">
        <v>741</v>
      </c>
      <c r="Z3" s="1" t="s">
        <v>742</v>
      </c>
      <c r="AB3" s="1" t="s">
        <v>743</v>
      </c>
      <c r="AD3" s="1">
        <v>1</v>
      </c>
      <c r="AF3" s="1" t="s">
        <v>744</v>
      </c>
      <c r="AH3" s="1" t="s">
        <v>745</v>
      </c>
      <c r="AN3" s="1" t="s">
        <v>746</v>
      </c>
      <c r="AP3" s="1" t="s">
        <v>747</v>
      </c>
      <c r="AR3" s="4" t="s">
        <v>748</v>
      </c>
      <c r="AU3" s="1" t="s">
        <v>749</v>
      </c>
      <c r="AW3" s="5" t="s">
        <v>750</v>
      </c>
      <c r="AY3" s="1" t="s">
        <v>751</v>
      </c>
      <c r="BC3" s="1" t="s">
        <v>752</v>
      </c>
    </row>
    <row r="4" spans="1:55" ht="24" x14ac:dyDescent="0.15">
      <c r="A4" s="1" t="s">
        <v>753</v>
      </c>
      <c r="C4" s="1" t="s">
        <v>989</v>
      </c>
      <c r="D4" s="1" t="s">
        <v>754</v>
      </c>
      <c r="F4" s="1" t="s">
        <v>755</v>
      </c>
      <c r="H4" s="1" t="s">
        <v>756</v>
      </c>
      <c r="K4" s="1" t="s">
        <v>757</v>
      </c>
      <c r="M4" s="1" t="s">
        <v>758</v>
      </c>
      <c r="P4" s="1" t="s">
        <v>759</v>
      </c>
      <c r="R4" s="1">
        <v>0</v>
      </c>
      <c r="T4" s="1" t="s">
        <v>760</v>
      </c>
      <c r="V4" s="1" t="s">
        <v>761</v>
      </c>
      <c r="X4" s="1" t="s">
        <v>762</v>
      </c>
      <c r="Z4" s="1" t="s">
        <v>763</v>
      </c>
      <c r="AB4" s="1" t="s">
        <v>764</v>
      </c>
      <c r="AD4" s="1">
        <v>2</v>
      </c>
      <c r="AF4" s="4"/>
      <c r="AH4" s="1" t="s">
        <v>765</v>
      </c>
      <c r="AN4" s="1" t="s">
        <v>766</v>
      </c>
      <c r="AP4" s="1" t="s">
        <v>767</v>
      </c>
      <c r="AR4" s="4" t="s">
        <v>768</v>
      </c>
      <c r="AU4" s="1" t="s">
        <v>769</v>
      </c>
      <c r="AW4" s="5" t="s">
        <v>770</v>
      </c>
      <c r="AY4" s="1" t="s">
        <v>771</v>
      </c>
      <c r="BC4" s="1" t="s">
        <v>772</v>
      </c>
    </row>
    <row r="5" spans="1:55" ht="28.8" x14ac:dyDescent="0.15">
      <c r="A5" s="1" t="s">
        <v>773</v>
      </c>
      <c r="C5" s="1" t="s">
        <v>754</v>
      </c>
      <c r="D5" s="1" t="s">
        <v>774</v>
      </c>
      <c r="F5" s="1" t="s">
        <v>775</v>
      </c>
      <c r="H5" s="1" t="s">
        <v>776</v>
      </c>
      <c r="K5" s="1" t="s">
        <v>777</v>
      </c>
      <c r="M5" s="1" t="s">
        <v>778</v>
      </c>
      <c r="R5" s="1">
        <v>1</v>
      </c>
      <c r="T5" s="1" t="s">
        <v>995</v>
      </c>
      <c r="V5" s="1" t="s">
        <v>996</v>
      </c>
      <c r="X5" s="1" t="s">
        <v>997</v>
      </c>
      <c r="Z5" s="1" t="s">
        <v>998</v>
      </c>
      <c r="AB5" s="1" t="s">
        <v>999</v>
      </c>
      <c r="AD5" s="1">
        <v>3</v>
      </c>
      <c r="AF5" s="2" t="s">
        <v>985</v>
      </c>
      <c r="AH5" s="1" t="s">
        <v>1000</v>
      </c>
      <c r="AN5" s="1" t="s">
        <v>1001</v>
      </c>
      <c r="AP5" s="1" t="s">
        <v>1002</v>
      </c>
      <c r="AR5" s="4" t="s">
        <v>1003</v>
      </c>
      <c r="AU5" s="1" t="s">
        <v>1004</v>
      </c>
      <c r="AW5" s="5" t="s">
        <v>1005</v>
      </c>
      <c r="AY5" s="1" t="s">
        <v>1006</v>
      </c>
      <c r="BC5" s="6" t="s">
        <v>1007</v>
      </c>
    </row>
    <row r="6" spans="1:55" ht="28.8" x14ac:dyDescent="0.15">
      <c r="A6" s="1" t="s">
        <v>1008</v>
      </c>
      <c r="C6" s="1" t="s">
        <v>774</v>
      </c>
      <c r="D6" s="1" t="s">
        <v>1009</v>
      </c>
      <c r="F6" s="4" t="s">
        <v>1010</v>
      </c>
      <c r="H6" s="1" t="s">
        <v>1011</v>
      </c>
      <c r="K6" s="4" t="s">
        <v>1012</v>
      </c>
      <c r="M6" s="4" t="s">
        <v>1013</v>
      </c>
      <c r="R6" s="1">
        <v>2</v>
      </c>
      <c r="T6" s="1" t="s">
        <v>1014</v>
      </c>
      <c r="V6" s="1" t="s">
        <v>1015</v>
      </c>
      <c r="X6" s="1" t="s">
        <v>1016</v>
      </c>
      <c r="Z6" s="1" t="s">
        <v>1017</v>
      </c>
      <c r="AB6" s="4"/>
      <c r="AD6" s="1">
        <v>4</v>
      </c>
      <c r="AF6" s="1" t="s">
        <v>1018</v>
      </c>
      <c r="AH6" s="1" t="s">
        <v>1019</v>
      </c>
      <c r="AN6" s="1" t="s">
        <v>1020</v>
      </c>
      <c r="AP6" s="1" t="s">
        <v>1021</v>
      </c>
      <c r="AR6" s="4" t="s">
        <v>1022</v>
      </c>
      <c r="AU6" s="1" t="s">
        <v>1023</v>
      </c>
      <c r="AW6" s="5" t="s">
        <v>1024</v>
      </c>
      <c r="AY6" s="1" t="s">
        <v>1025</v>
      </c>
      <c r="BC6" s="6" t="s">
        <v>1026</v>
      </c>
    </row>
    <row r="7" spans="1:55" ht="28.8" x14ac:dyDescent="0.15">
      <c r="A7" s="1" t="s">
        <v>1027</v>
      </c>
      <c r="C7" s="1" t="s">
        <v>1009</v>
      </c>
      <c r="D7" s="4"/>
      <c r="F7" s="1" t="s">
        <v>1028</v>
      </c>
      <c r="K7" s="1" t="s">
        <v>1029</v>
      </c>
      <c r="M7" s="1" t="s">
        <v>1030</v>
      </c>
      <c r="R7" s="1">
        <v>3</v>
      </c>
      <c r="T7" s="1" t="s">
        <v>1031</v>
      </c>
      <c r="V7" s="1" t="s">
        <v>752</v>
      </c>
      <c r="X7" s="1" t="s">
        <v>1032</v>
      </c>
      <c r="Z7" s="1" t="s">
        <v>1033</v>
      </c>
      <c r="AD7" s="1">
        <v>5</v>
      </c>
      <c r="AF7" s="4"/>
      <c r="AH7" s="1" t="s">
        <v>1034</v>
      </c>
      <c r="AN7" s="1" t="s">
        <v>1035</v>
      </c>
      <c r="AP7" s="1" t="s">
        <v>1036</v>
      </c>
      <c r="AR7" s="4" t="s">
        <v>1037</v>
      </c>
      <c r="AU7" s="1" t="s">
        <v>1038</v>
      </c>
      <c r="AW7" s="5" t="s">
        <v>1039</v>
      </c>
      <c r="AY7" s="3" t="s">
        <v>1040</v>
      </c>
      <c r="BC7" s="6" t="s">
        <v>1041</v>
      </c>
    </row>
    <row r="8" spans="1:55" ht="24" x14ac:dyDescent="0.15">
      <c r="A8" s="1" t="s">
        <v>1042</v>
      </c>
      <c r="C8" s="4"/>
      <c r="F8" s="1" t="s">
        <v>1043</v>
      </c>
      <c r="K8" s="1" t="s">
        <v>1044</v>
      </c>
      <c r="M8" s="1" t="s">
        <v>1045</v>
      </c>
      <c r="T8" s="1" t="s">
        <v>1046</v>
      </c>
      <c r="V8" s="4" t="s">
        <v>1047</v>
      </c>
      <c r="X8" s="1" t="s">
        <v>1048</v>
      </c>
      <c r="Z8" s="1" t="s">
        <v>1049</v>
      </c>
      <c r="AD8" s="1">
        <v>6</v>
      </c>
      <c r="AF8" s="2" t="s">
        <v>985</v>
      </c>
      <c r="AH8" s="1" t="s">
        <v>1050</v>
      </c>
      <c r="AN8" s="1" t="s">
        <v>1051</v>
      </c>
      <c r="AP8" s="1" t="s">
        <v>1052</v>
      </c>
      <c r="AR8" s="4" t="s">
        <v>842</v>
      </c>
      <c r="AU8" s="1" t="s">
        <v>843</v>
      </c>
      <c r="AW8" s="5" t="s">
        <v>844</v>
      </c>
      <c r="AY8" s="1" t="s">
        <v>845</v>
      </c>
      <c r="BC8" s="5" t="s">
        <v>846</v>
      </c>
    </row>
    <row r="9" spans="1:55" ht="28.8" x14ac:dyDescent="0.15">
      <c r="K9" s="1" t="s">
        <v>847</v>
      </c>
      <c r="M9" s="1" t="s">
        <v>848</v>
      </c>
      <c r="X9" s="1" t="s">
        <v>849</v>
      </c>
      <c r="Z9" s="4" t="s">
        <v>850</v>
      </c>
      <c r="AD9" s="1">
        <v>7</v>
      </c>
      <c r="AF9" s="1" t="s">
        <v>851</v>
      </c>
      <c r="AH9" s="1" t="s">
        <v>852</v>
      </c>
      <c r="AN9" s="1" t="s">
        <v>853</v>
      </c>
      <c r="AP9" s="1" t="s">
        <v>854</v>
      </c>
      <c r="AR9" s="1" t="s">
        <v>855</v>
      </c>
      <c r="AW9" s="6" t="s">
        <v>856</v>
      </c>
      <c r="AY9" s="1" t="s">
        <v>857</v>
      </c>
      <c r="BC9" s="6" t="s">
        <v>858</v>
      </c>
    </row>
    <row r="10" spans="1:55" ht="28.8" x14ac:dyDescent="0.15">
      <c r="K10" s="1" t="s">
        <v>859</v>
      </c>
      <c r="Q10" s="1" t="s">
        <v>860</v>
      </c>
      <c r="V10" s="4"/>
      <c r="X10" s="1" t="s">
        <v>861</v>
      </c>
      <c r="Z10" s="4" t="s">
        <v>862</v>
      </c>
      <c r="AD10" s="1">
        <v>8</v>
      </c>
      <c r="AF10" s="4"/>
      <c r="AH10" s="1" t="s">
        <v>887</v>
      </c>
      <c r="AN10" s="1" t="s">
        <v>888</v>
      </c>
      <c r="AP10" s="1" t="s">
        <v>889</v>
      </c>
      <c r="AR10" s="1" t="s">
        <v>890</v>
      </c>
      <c r="AW10" s="6" t="s">
        <v>891</v>
      </c>
      <c r="AY10" s="1" t="s">
        <v>892</v>
      </c>
      <c r="BC10" s="6" t="s">
        <v>893</v>
      </c>
    </row>
    <row r="11" spans="1:55" ht="28.8" x14ac:dyDescent="0.15">
      <c r="F11" s="1" t="s">
        <v>894</v>
      </c>
      <c r="K11" s="1" t="s">
        <v>895</v>
      </c>
      <c r="Q11" s="2" t="s">
        <v>985</v>
      </c>
      <c r="V11" s="4"/>
      <c r="X11" s="1" t="s">
        <v>896</v>
      </c>
      <c r="Z11" s="1" t="s">
        <v>897</v>
      </c>
      <c r="AD11" s="1">
        <v>9</v>
      </c>
      <c r="AF11" s="2" t="s">
        <v>985</v>
      </c>
      <c r="AH11" s="1" t="s">
        <v>864</v>
      </c>
      <c r="AN11" s="1" t="s">
        <v>865</v>
      </c>
      <c r="AP11" s="1" t="s">
        <v>866</v>
      </c>
      <c r="AR11" s="1" t="s">
        <v>867</v>
      </c>
      <c r="AW11" s="6" t="s">
        <v>868</v>
      </c>
      <c r="AY11" s="1" t="s">
        <v>869</v>
      </c>
      <c r="BC11" s="6" t="s">
        <v>870</v>
      </c>
    </row>
    <row r="12" spans="1:55" ht="28.8" x14ac:dyDescent="0.15">
      <c r="A12" s="1" t="s">
        <v>871</v>
      </c>
      <c r="C12" s="1" t="s">
        <v>872</v>
      </c>
      <c r="F12" s="1" t="s">
        <v>985</v>
      </c>
      <c r="K12" s="1" t="s">
        <v>873</v>
      </c>
      <c r="Q12" s="1" t="s">
        <v>752</v>
      </c>
      <c r="V12" s="4"/>
      <c r="X12" s="1" t="s">
        <v>874</v>
      </c>
      <c r="Z12" s="1" t="s">
        <v>875</v>
      </c>
      <c r="AD12" s="1">
        <v>10</v>
      </c>
      <c r="AF12" s="1" t="s">
        <v>876</v>
      </c>
      <c r="AH12" s="1" t="s">
        <v>877</v>
      </c>
      <c r="AN12" s="1" t="s">
        <v>878</v>
      </c>
      <c r="AP12" s="1" t="s">
        <v>879</v>
      </c>
      <c r="AR12" s="1" t="s">
        <v>880</v>
      </c>
      <c r="AW12" s="6" t="s">
        <v>881</v>
      </c>
      <c r="AY12" s="1" t="s">
        <v>882</v>
      </c>
      <c r="BC12" s="6" t="s">
        <v>883</v>
      </c>
    </row>
    <row r="13" spans="1:55" ht="28.8" x14ac:dyDescent="0.15">
      <c r="A13" s="2" t="s">
        <v>985</v>
      </c>
      <c r="C13" s="2" t="s">
        <v>985</v>
      </c>
      <c r="F13" s="1" t="s">
        <v>884</v>
      </c>
      <c r="K13" s="4" t="s">
        <v>885</v>
      </c>
      <c r="Q13" s="1" t="s">
        <v>772</v>
      </c>
      <c r="V13" s="4"/>
      <c r="X13" s="1" t="s">
        <v>886</v>
      </c>
      <c r="Z13" s="4" t="s">
        <v>588</v>
      </c>
      <c r="AD13" s="1">
        <v>11</v>
      </c>
      <c r="AF13" s="4"/>
      <c r="AH13" s="1" t="s">
        <v>589</v>
      </c>
      <c r="AN13" s="1" t="s">
        <v>590</v>
      </c>
      <c r="AP13" s="1" t="s">
        <v>591</v>
      </c>
      <c r="AR13" s="1" t="s">
        <v>592</v>
      </c>
      <c r="AW13" s="6" t="s">
        <v>593</v>
      </c>
      <c r="AY13" s="1" t="s">
        <v>594</v>
      </c>
      <c r="BC13" s="6" t="s">
        <v>595</v>
      </c>
    </row>
    <row r="14" spans="1:55" ht="28.8" x14ac:dyDescent="0.15">
      <c r="A14" s="1" t="s">
        <v>596</v>
      </c>
      <c r="C14" s="1" t="s">
        <v>597</v>
      </c>
      <c r="F14" s="1" t="s">
        <v>598</v>
      </c>
      <c r="K14" s="1" t="s">
        <v>599</v>
      </c>
      <c r="Q14" s="1" t="s">
        <v>860</v>
      </c>
      <c r="V14" s="4"/>
      <c r="X14" s="1" t="s">
        <v>600</v>
      </c>
      <c r="Z14" s="1" t="s">
        <v>601</v>
      </c>
      <c r="AD14" s="1">
        <v>12</v>
      </c>
      <c r="AF14" s="2" t="s">
        <v>985</v>
      </c>
      <c r="AH14" s="1" t="s">
        <v>602</v>
      </c>
      <c r="AN14" s="1" t="s">
        <v>603</v>
      </c>
      <c r="AP14" s="1" t="s">
        <v>604</v>
      </c>
      <c r="AR14" s="1" t="s">
        <v>605</v>
      </c>
      <c r="AW14" s="6" t="s">
        <v>606</v>
      </c>
      <c r="AY14" s="3" t="s">
        <v>607</v>
      </c>
      <c r="BC14" s="6" t="s">
        <v>608</v>
      </c>
    </row>
    <row r="15" spans="1:55" ht="28.8" x14ac:dyDescent="0.15">
      <c r="A15" s="1" t="s">
        <v>609</v>
      </c>
      <c r="C15" s="1" t="s">
        <v>610</v>
      </c>
      <c r="F15" s="1" t="s">
        <v>611</v>
      </c>
      <c r="K15" s="1" t="s">
        <v>866</v>
      </c>
      <c r="Q15" s="4" t="s">
        <v>712</v>
      </c>
      <c r="V15" s="1" t="s">
        <v>612</v>
      </c>
      <c r="X15" s="1" t="s">
        <v>613</v>
      </c>
      <c r="Z15" s="1" t="s">
        <v>614</v>
      </c>
      <c r="AF15" s="1" t="s">
        <v>615</v>
      </c>
      <c r="AH15" s="1" t="s">
        <v>616</v>
      </c>
      <c r="AN15" s="1" t="s">
        <v>617</v>
      </c>
      <c r="AP15" s="1" t="s">
        <v>618</v>
      </c>
      <c r="AR15" s="1" t="s">
        <v>619</v>
      </c>
      <c r="AW15" s="6" t="s">
        <v>620</v>
      </c>
      <c r="AY15" s="3" t="s">
        <v>621</v>
      </c>
      <c r="BC15" s="5" t="s">
        <v>622</v>
      </c>
    </row>
    <row r="16" spans="1:55" ht="28.8" x14ac:dyDescent="0.15">
      <c r="A16" s="1" t="s">
        <v>623</v>
      </c>
      <c r="C16" s="1" t="s">
        <v>624</v>
      </c>
      <c r="K16" s="1" t="s">
        <v>902</v>
      </c>
      <c r="M16" s="1" t="s">
        <v>903</v>
      </c>
      <c r="T16" s="2"/>
      <c r="V16" s="2" t="s">
        <v>985</v>
      </c>
      <c r="X16" s="1" t="s">
        <v>904</v>
      </c>
      <c r="Z16" s="4"/>
      <c r="AH16" s="1" t="s">
        <v>905</v>
      </c>
      <c r="AN16" s="1" t="s">
        <v>906</v>
      </c>
      <c r="AP16" s="1" t="s">
        <v>907</v>
      </c>
      <c r="AR16" s="1" t="s">
        <v>908</v>
      </c>
      <c r="AW16" s="6" t="s">
        <v>909</v>
      </c>
      <c r="AY16" s="3" t="s">
        <v>910</v>
      </c>
      <c r="BC16" s="6" t="s">
        <v>911</v>
      </c>
    </row>
    <row r="17" spans="1:55" ht="28.8" x14ac:dyDescent="0.15">
      <c r="A17" s="1" t="s">
        <v>912</v>
      </c>
      <c r="C17" s="1" t="s">
        <v>913</v>
      </c>
      <c r="K17" s="1" t="s">
        <v>914</v>
      </c>
      <c r="M17" s="1" t="s">
        <v>915</v>
      </c>
      <c r="V17" s="1" t="s">
        <v>916</v>
      </c>
      <c r="X17" s="1" t="s">
        <v>917</v>
      </c>
      <c r="AF17" s="2" t="s">
        <v>985</v>
      </c>
      <c r="AH17" s="1" t="s">
        <v>918</v>
      </c>
      <c r="AN17" s="1" t="s">
        <v>919</v>
      </c>
      <c r="AP17" s="1" t="s">
        <v>920</v>
      </c>
      <c r="AR17" s="1" t="s">
        <v>921</v>
      </c>
      <c r="AW17" s="6" t="s">
        <v>922</v>
      </c>
      <c r="AY17" s="3" t="s">
        <v>923</v>
      </c>
      <c r="BC17" s="6" t="s">
        <v>924</v>
      </c>
    </row>
    <row r="18" spans="1:55" ht="28.8" x14ac:dyDescent="0.15">
      <c r="A18" s="1" t="s">
        <v>925</v>
      </c>
      <c r="C18" s="1" t="s">
        <v>926</v>
      </c>
      <c r="K18" s="4" t="s">
        <v>927</v>
      </c>
      <c r="M18" s="1" t="s">
        <v>928</v>
      </c>
      <c r="V18" s="1" t="s">
        <v>929</v>
      </c>
      <c r="X18" s="1" t="s">
        <v>930</v>
      </c>
      <c r="AF18" s="1" t="s">
        <v>931</v>
      </c>
      <c r="AH18" s="1" t="s">
        <v>932</v>
      </c>
      <c r="AN18" s="1" t="s">
        <v>933</v>
      </c>
      <c r="AP18" s="1" t="s">
        <v>934</v>
      </c>
      <c r="AR18" s="1" t="s">
        <v>935</v>
      </c>
      <c r="AW18" s="6" t="s">
        <v>936</v>
      </c>
      <c r="AY18" s="3" t="s">
        <v>937</v>
      </c>
      <c r="BC18" s="6" t="s">
        <v>938</v>
      </c>
    </row>
    <row r="19" spans="1:55" ht="28.8" x14ac:dyDescent="0.15">
      <c r="A19" s="1" t="s">
        <v>939</v>
      </c>
      <c r="C19" s="1" t="s">
        <v>940</v>
      </c>
      <c r="K19" s="1" t="s">
        <v>941</v>
      </c>
      <c r="M19" s="1" t="s">
        <v>942</v>
      </c>
      <c r="V19" s="4" t="s">
        <v>943</v>
      </c>
      <c r="X19" s="1" t="s">
        <v>944</v>
      </c>
      <c r="AH19" s="1" t="s">
        <v>945</v>
      </c>
      <c r="AN19" s="1" t="s">
        <v>946</v>
      </c>
      <c r="AP19" s="1" t="s">
        <v>947</v>
      </c>
      <c r="AR19" s="1" t="s">
        <v>948</v>
      </c>
      <c r="AW19" s="6" t="s">
        <v>949</v>
      </c>
      <c r="AY19" s="3" t="s">
        <v>950</v>
      </c>
      <c r="BC19" s="6" t="s">
        <v>951</v>
      </c>
    </row>
    <row r="20" spans="1:55" ht="28.8" x14ac:dyDescent="0.15">
      <c r="A20" s="1" t="s">
        <v>952</v>
      </c>
      <c r="K20" s="4" t="s">
        <v>953</v>
      </c>
      <c r="M20" s="1" t="s">
        <v>954</v>
      </c>
      <c r="V20" s="1" t="s">
        <v>955</v>
      </c>
      <c r="X20" s="1" t="s">
        <v>956</v>
      </c>
      <c r="AF20" s="2" t="s">
        <v>985</v>
      </c>
      <c r="AH20" s="1" t="s">
        <v>957</v>
      </c>
      <c r="AN20" s="1" t="s">
        <v>958</v>
      </c>
      <c r="AP20" s="1" t="s">
        <v>959</v>
      </c>
      <c r="AR20" s="1" t="s">
        <v>960</v>
      </c>
      <c r="AW20" s="6" t="s">
        <v>961</v>
      </c>
      <c r="AY20" s="3" t="s">
        <v>962</v>
      </c>
      <c r="BC20" s="5" t="s">
        <v>963</v>
      </c>
    </row>
    <row r="21" spans="1:55" ht="28.8" x14ac:dyDescent="0.15">
      <c r="A21" s="1" t="s">
        <v>964</v>
      </c>
      <c r="C21" s="1" t="s">
        <v>965</v>
      </c>
      <c r="K21" s="1" t="s">
        <v>966</v>
      </c>
      <c r="M21" s="1" t="s">
        <v>967</v>
      </c>
      <c r="V21" s="1" t="s">
        <v>968</v>
      </c>
      <c r="X21" s="1" t="s">
        <v>969</v>
      </c>
      <c r="AF21" s="1" t="s">
        <v>970</v>
      </c>
      <c r="AH21" s="1" t="s">
        <v>971</v>
      </c>
      <c r="AN21" s="1" t="s">
        <v>972</v>
      </c>
      <c r="AP21" s="1" t="s">
        <v>973</v>
      </c>
      <c r="AR21" s="1" t="s">
        <v>974</v>
      </c>
      <c r="AW21" s="6" t="s">
        <v>689</v>
      </c>
      <c r="AY21" s="3" t="s">
        <v>690</v>
      </c>
      <c r="BC21" s="6" t="s">
        <v>691</v>
      </c>
    </row>
    <row r="22" spans="1:55" ht="28.8" x14ac:dyDescent="0.15">
      <c r="A22" s="1" t="s">
        <v>692</v>
      </c>
      <c r="C22" s="2" t="s">
        <v>985</v>
      </c>
      <c r="K22" s="1" t="s">
        <v>693</v>
      </c>
      <c r="V22" s="1" t="s">
        <v>694</v>
      </c>
      <c r="X22" s="1" t="s">
        <v>695</v>
      </c>
      <c r="AH22" s="1" t="s">
        <v>696</v>
      </c>
      <c r="AN22" s="1" t="s">
        <v>697</v>
      </c>
      <c r="AP22" s="1" t="s">
        <v>698</v>
      </c>
      <c r="AR22" s="1" t="s">
        <v>699</v>
      </c>
      <c r="AW22" s="6" t="s">
        <v>716</v>
      </c>
      <c r="AY22" s="3" t="s">
        <v>717</v>
      </c>
      <c r="BC22" s="5" t="s">
        <v>718</v>
      </c>
    </row>
    <row r="23" spans="1:55" ht="28.8" x14ac:dyDescent="0.15">
      <c r="A23" s="1" t="s">
        <v>719</v>
      </c>
      <c r="C23" s="1">
        <v>1</v>
      </c>
      <c r="K23" s="1" t="s">
        <v>720</v>
      </c>
      <c r="V23" s="1" t="s">
        <v>721</v>
      </c>
      <c r="X23" s="1" t="s">
        <v>722</v>
      </c>
      <c r="AF23" s="2" t="s">
        <v>985</v>
      </c>
      <c r="AH23" s="1" t="s">
        <v>723</v>
      </c>
      <c r="AN23" s="1" t="s">
        <v>724</v>
      </c>
      <c r="AP23" s="1" t="s">
        <v>725</v>
      </c>
      <c r="AR23" s="1" t="s">
        <v>726</v>
      </c>
      <c r="AW23" s="6" t="s">
        <v>727</v>
      </c>
      <c r="AY23" s="3" t="s">
        <v>728</v>
      </c>
      <c r="BC23" s="6" t="s">
        <v>729</v>
      </c>
    </row>
    <row r="24" spans="1:55" ht="28.8" x14ac:dyDescent="0.15">
      <c r="C24" s="1">
        <v>2</v>
      </c>
      <c r="K24" s="1" t="s">
        <v>730</v>
      </c>
      <c r="V24" s="1" t="s">
        <v>731</v>
      </c>
      <c r="X24" s="1" t="s">
        <v>732</v>
      </c>
      <c r="AF24" s="1" t="s">
        <v>733</v>
      </c>
      <c r="AH24" s="1" t="s">
        <v>734</v>
      </c>
      <c r="AN24" s="4" t="s">
        <v>735</v>
      </c>
      <c r="AP24" s="1" t="s">
        <v>736</v>
      </c>
      <c r="AR24" s="1" t="s">
        <v>737</v>
      </c>
      <c r="AW24" s="6" t="s">
        <v>445</v>
      </c>
      <c r="AY24" s="3" t="s">
        <v>446</v>
      </c>
      <c r="BC24" s="6" t="s">
        <v>447</v>
      </c>
    </row>
    <row r="25" spans="1:55" ht="28.8" x14ac:dyDescent="0.15">
      <c r="C25" s="1">
        <v>3</v>
      </c>
      <c r="T25" s="1" t="s">
        <v>448</v>
      </c>
      <c r="V25" s="1" t="s">
        <v>449</v>
      </c>
      <c r="X25" s="1" t="s">
        <v>450</v>
      </c>
      <c r="AH25" s="1" t="s">
        <v>451</v>
      </c>
      <c r="AN25" s="4" t="s">
        <v>452</v>
      </c>
      <c r="AP25" s="1" t="s">
        <v>453</v>
      </c>
      <c r="AR25" s="1" t="s">
        <v>454</v>
      </c>
      <c r="AW25" s="6" t="s">
        <v>455</v>
      </c>
      <c r="AY25" s="4"/>
      <c r="BC25" s="6" t="s">
        <v>456</v>
      </c>
    </row>
    <row r="26" spans="1:55" ht="28.8" x14ac:dyDescent="0.15">
      <c r="C26" s="1">
        <v>4</v>
      </c>
      <c r="T26" s="2" t="s">
        <v>985</v>
      </c>
      <c r="V26" s="1" t="s">
        <v>457</v>
      </c>
      <c r="X26" s="1" t="s">
        <v>458</v>
      </c>
      <c r="AF26" s="2" t="s">
        <v>985</v>
      </c>
      <c r="AH26" s="1" t="s">
        <v>459</v>
      </c>
      <c r="AN26" s="1" t="s">
        <v>460</v>
      </c>
      <c r="AP26" s="1" t="s">
        <v>461</v>
      </c>
      <c r="AR26" s="1" t="s">
        <v>462</v>
      </c>
      <c r="AW26" s="6" t="s">
        <v>463</v>
      </c>
      <c r="AY26" s="4"/>
      <c r="BC26" s="6" t="s">
        <v>464</v>
      </c>
    </row>
    <row r="27" spans="1:55" ht="28.8" x14ac:dyDescent="0.15">
      <c r="C27" s="1">
        <v>5</v>
      </c>
      <c r="T27" s="1" t="s">
        <v>465</v>
      </c>
      <c r="V27" s="1" t="s">
        <v>466</v>
      </c>
      <c r="X27" s="1" t="s">
        <v>467</v>
      </c>
      <c r="AF27" s="1" t="s">
        <v>468</v>
      </c>
      <c r="AH27" s="1" t="s">
        <v>469</v>
      </c>
      <c r="AN27" s="1" t="s">
        <v>470</v>
      </c>
      <c r="AP27" s="1" t="s">
        <v>471</v>
      </c>
      <c r="AR27" s="1" t="s">
        <v>472</v>
      </c>
      <c r="AW27" s="6" t="s">
        <v>473</v>
      </c>
      <c r="AY27" s="3"/>
      <c r="BC27" s="5" t="s">
        <v>474</v>
      </c>
    </row>
    <row r="28" spans="1:55" ht="28.8" x14ac:dyDescent="0.15">
      <c r="T28" s="1" t="s">
        <v>944</v>
      </c>
      <c r="V28" s="1" t="s">
        <v>475</v>
      </c>
      <c r="X28" s="1" t="s">
        <v>476</v>
      </c>
      <c r="AH28" s="1" t="s">
        <v>477</v>
      </c>
      <c r="AN28" s="1" t="s">
        <v>478</v>
      </c>
      <c r="AP28" s="1" t="s">
        <v>479</v>
      </c>
      <c r="AR28" s="1" t="s">
        <v>480</v>
      </c>
      <c r="AW28" s="6" t="s">
        <v>481</v>
      </c>
      <c r="AY28" s="3"/>
      <c r="BC28" s="5" t="s">
        <v>779</v>
      </c>
    </row>
    <row r="29" spans="1:55" ht="28.8" x14ac:dyDescent="0.15">
      <c r="T29" s="1" t="s">
        <v>780</v>
      </c>
      <c r="V29" s="1" t="s">
        <v>781</v>
      </c>
      <c r="X29" s="1" t="s">
        <v>782</v>
      </c>
      <c r="AF29" s="2" t="s">
        <v>985</v>
      </c>
      <c r="AH29" s="1" t="s">
        <v>783</v>
      </c>
      <c r="AN29" s="1" t="s">
        <v>784</v>
      </c>
      <c r="AP29" s="1" t="s">
        <v>785</v>
      </c>
      <c r="AR29" s="1" t="s">
        <v>786</v>
      </c>
      <c r="AW29" s="6" t="s">
        <v>787</v>
      </c>
      <c r="AY29" s="3"/>
      <c r="BC29" s="5" t="s">
        <v>788</v>
      </c>
    </row>
    <row r="30" spans="1:55" ht="28.8" x14ac:dyDescent="0.15">
      <c r="T30" s="1" t="s">
        <v>789</v>
      </c>
      <c r="V30" s="1" t="s">
        <v>790</v>
      </c>
      <c r="X30" s="1" t="s">
        <v>791</v>
      </c>
      <c r="AF30" s="1" t="s">
        <v>792</v>
      </c>
      <c r="AH30" s="1" t="s">
        <v>793</v>
      </c>
      <c r="AN30" s="1" t="s">
        <v>794</v>
      </c>
      <c r="AP30" s="1" t="s">
        <v>795</v>
      </c>
      <c r="AR30" s="1" t="s">
        <v>796</v>
      </c>
      <c r="AW30" s="6" t="s">
        <v>797</v>
      </c>
      <c r="BC30" s="5" t="s">
        <v>798</v>
      </c>
    </row>
    <row r="31" spans="1:55" ht="28.8" x14ac:dyDescent="0.25">
      <c r="T31" s="1" t="s">
        <v>799</v>
      </c>
      <c r="V31" s="1" t="s">
        <v>800</v>
      </c>
      <c r="X31" s="1" t="s">
        <v>801</v>
      </c>
      <c r="AF31" s="4"/>
      <c r="AH31" s="4" t="s">
        <v>802</v>
      </c>
      <c r="AN31" s="1" t="s">
        <v>803</v>
      </c>
      <c r="AP31" s="1" t="s">
        <v>804</v>
      </c>
      <c r="AR31" s="1" t="s">
        <v>805</v>
      </c>
      <c r="AW31" s="6" t="s">
        <v>806</v>
      </c>
      <c r="BC31" s="5" t="s">
        <v>807</v>
      </c>
    </row>
    <row r="32" spans="1:55" ht="28.8" x14ac:dyDescent="0.25">
      <c r="T32" s="1" t="s">
        <v>808</v>
      </c>
      <c r="V32" s="1" t="s">
        <v>809</v>
      </c>
      <c r="X32" s="1" t="s">
        <v>808</v>
      </c>
      <c r="AF32" s="2" t="s">
        <v>985</v>
      </c>
      <c r="AH32" s="4" t="s">
        <v>810</v>
      </c>
      <c r="AN32" s="1" t="s">
        <v>811</v>
      </c>
      <c r="AP32" s="1" t="s">
        <v>812</v>
      </c>
      <c r="AR32" s="1" t="s">
        <v>813</v>
      </c>
      <c r="AW32" s="6" t="s">
        <v>814</v>
      </c>
      <c r="BC32" s="5" t="s">
        <v>815</v>
      </c>
    </row>
    <row r="33" spans="11:55" ht="28.8" x14ac:dyDescent="0.25">
      <c r="T33" s="1" t="s">
        <v>816</v>
      </c>
      <c r="V33" s="1" t="s">
        <v>817</v>
      </c>
      <c r="X33" s="1" t="s">
        <v>818</v>
      </c>
      <c r="AF33" s="1" t="s">
        <v>819</v>
      </c>
      <c r="AH33" s="4" t="s">
        <v>820</v>
      </c>
      <c r="AN33" s="1" t="s">
        <v>821</v>
      </c>
      <c r="AP33" s="1" t="s">
        <v>822</v>
      </c>
      <c r="AR33" s="1" t="s">
        <v>823</v>
      </c>
      <c r="AW33" s="6" t="s">
        <v>824</v>
      </c>
      <c r="BC33" s="6" t="s">
        <v>825</v>
      </c>
    </row>
    <row r="34" spans="11:55" ht="28.8" x14ac:dyDescent="0.15">
      <c r="V34" s="1" t="s">
        <v>826</v>
      </c>
      <c r="X34" s="1" t="s">
        <v>827</v>
      </c>
      <c r="AF34" s="4"/>
      <c r="AH34" s="1" t="s">
        <v>828</v>
      </c>
      <c r="AN34" s="1" t="s">
        <v>829</v>
      </c>
      <c r="AP34" s="1" t="s">
        <v>830</v>
      </c>
      <c r="AR34" s="1" t="s">
        <v>831</v>
      </c>
      <c r="AW34" s="6" t="s">
        <v>832</v>
      </c>
      <c r="BC34" s="7" t="s">
        <v>833</v>
      </c>
    </row>
    <row r="35" spans="11:55" ht="28.8" x14ac:dyDescent="0.25">
      <c r="K35" s="4"/>
      <c r="V35" s="1" t="s">
        <v>834</v>
      </c>
      <c r="X35" s="1" t="s">
        <v>835</v>
      </c>
      <c r="AF35" s="2" t="s">
        <v>985</v>
      </c>
      <c r="AH35" s="4" t="s">
        <v>820</v>
      </c>
      <c r="AN35" s="1" t="s">
        <v>836</v>
      </c>
      <c r="AP35" s="1" t="s">
        <v>837</v>
      </c>
      <c r="AR35" s="1" t="s">
        <v>838</v>
      </c>
      <c r="AW35" s="6" t="s">
        <v>839</v>
      </c>
      <c r="BC35" s="6" t="s">
        <v>840</v>
      </c>
    </row>
    <row r="36" spans="11:55" ht="28.8" x14ac:dyDescent="0.15">
      <c r="K36" s="4"/>
      <c r="V36" s="1" t="s">
        <v>841</v>
      </c>
      <c r="X36" s="1" t="s">
        <v>541</v>
      </c>
      <c r="AF36" s="1" t="s">
        <v>695</v>
      </c>
      <c r="AH36" s="1" t="s">
        <v>828</v>
      </c>
      <c r="AN36" s="1" t="s">
        <v>542</v>
      </c>
      <c r="AP36" s="1" t="s">
        <v>543</v>
      </c>
      <c r="AR36" s="1" t="s">
        <v>544</v>
      </c>
      <c r="AW36" s="6" t="s">
        <v>545</v>
      </c>
      <c r="BC36" s="6" t="s">
        <v>546</v>
      </c>
    </row>
    <row r="37" spans="11:55" ht="28.8" x14ac:dyDescent="0.15">
      <c r="V37" s="1" t="s">
        <v>547</v>
      </c>
      <c r="X37" s="1" t="s">
        <v>548</v>
      </c>
      <c r="AF37" s="4"/>
      <c r="AH37" s="4"/>
      <c r="AN37" s="1" t="s">
        <v>549</v>
      </c>
      <c r="AP37" s="1" t="s">
        <v>550</v>
      </c>
      <c r="AR37" s="1" t="s">
        <v>551</v>
      </c>
      <c r="AW37" s="6" t="s">
        <v>552</v>
      </c>
      <c r="BC37" s="6" t="s">
        <v>553</v>
      </c>
    </row>
    <row r="38" spans="11:55" ht="28.8" x14ac:dyDescent="0.15">
      <c r="V38" s="1" t="s">
        <v>554</v>
      </c>
      <c r="X38" s="4" t="s">
        <v>555</v>
      </c>
      <c r="AF38" s="4"/>
      <c r="AH38" s="4"/>
      <c r="AN38" s="1" t="s">
        <v>556</v>
      </c>
      <c r="AP38" s="1" t="s">
        <v>557</v>
      </c>
      <c r="AR38" s="1" t="s">
        <v>558</v>
      </c>
      <c r="AW38" s="6" t="s">
        <v>559</v>
      </c>
      <c r="BC38" s="6" t="s">
        <v>560</v>
      </c>
    </row>
    <row r="39" spans="11:55" ht="28.8" x14ac:dyDescent="0.15">
      <c r="V39" s="1" t="s">
        <v>561</v>
      </c>
      <c r="X39" s="1" t="s">
        <v>562</v>
      </c>
      <c r="AP39" s="1" t="s">
        <v>563</v>
      </c>
      <c r="AR39" s="1" t="s">
        <v>564</v>
      </c>
      <c r="AW39" s="6" t="s">
        <v>565</v>
      </c>
      <c r="BC39" s="6" t="s">
        <v>283</v>
      </c>
    </row>
    <row r="40" spans="11:55" ht="28.8" x14ac:dyDescent="0.15">
      <c r="V40" s="1" t="s">
        <v>566</v>
      </c>
      <c r="X40" s="1" t="s">
        <v>567</v>
      </c>
      <c r="AH40" s="4"/>
      <c r="AP40" s="1" t="s">
        <v>568</v>
      </c>
      <c r="AR40" s="1" t="s">
        <v>569</v>
      </c>
      <c r="AW40" s="6" t="s">
        <v>570</v>
      </c>
      <c r="BC40" s="6" t="s">
        <v>571</v>
      </c>
    </row>
    <row r="41" spans="11:55" ht="28.8" x14ac:dyDescent="0.15">
      <c r="V41" s="1" t="s">
        <v>572</v>
      </c>
      <c r="X41" s="1" t="s">
        <v>573</v>
      </c>
      <c r="AH41" s="4"/>
      <c r="AP41" s="1" t="s">
        <v>574</v>
      </c>
      <c r="AR41" s="1" t="s">
        <v>575</v>
      </c>
      <c r="AW41" s="6" t="s">
        <v>576</v>
      </c>
      <c r="BC41" s="6" t="s">
        <v>577</v>
      </c>
    </row>
    <row r="42" spans="11:55" ht="28.8" x14ac:dyDescent="0.15">
      <c r="V42" s="1" t="s">
        <v>578</v>
      </c>
      <c r="X42" s="1" t="s">
        <v>579</v>
      </c>
      <c r="AP42" s="1" t="s">
        <v>580</v>
      </c>
      <c r="AR42" s="1" t="s">
        <v>581</v>
      </c>
      <c r="AW42" s="6" t="s">
        <v>582</v>
      </c>
      <c r="BC42" s="6" t="s">
        <v>583</v>
      </c>
    </row>
    <row r="43" spans="11:55" ht="28.8" x14ac:dyDescent="0.15">
      <c r="V43" s="1" t="s">
        <v>584</v>
      </c>
      <c r="X43" s="1" t="s">
        <v>585</v>
      </c>
      <c r="AP43" s="1" t="s">
        <v>586</v>
      </c>
      <c r="AR43" s="1" t="s">
        <v>587</v>
      </c>
      <c r="AW43" s="6" t="s">
        <v>312</v>
      </c>
      <c r="BC43" s="6" t="s">
        <v>313</v>
      </c>
    </row>
    <row r="44" spans="11:55" ht="28.8" x14ac:dyDescent="0.15">
      <c r="V44" s="1" t="s">
        <v>314</v>
      </c>
      <c r="X44" s="1" t="s">
        <v>315</v>
      </c>
      <c r="AP44" s="1" t="s">
        <v>316</v>
      </c>
      <c r="AR44" s="1" t="s">
        <v>317</v>
      </c>
      <c r="AW44" s="6" t="s">
        <v>318</v>
      </c>
      <c r="BC44" s="6" t="s">
        <v>319</v>
      </c>
    </row>
    <row r="45" spans="11:55" ht="28.8" x14ac:dyDescent="0.15">
      <c r="V45" s="4" t="s">
        <v>320</v>
      </c>
      <c r="X45" s="1" t="s">
        <v>321</v>
      </c>
      <c r="AP45" s="1" t="s">
        <v>322</v>
      </c>
      <c r="AR45" s="1" t="s">
        <v>323</v>
      </c>
      <c r="AW45" s="6" t="s">
        <v>324</v>
      </c>
      <c r="BC45" s="6" t="s">
        <v>325</v>
      </c>
    </row>
    <row r="46" spans="11:55" ht="28.8" x14ac:dyDescent="0.15">
      <c r="V46" s="1" t="s">
        <v>326</v>
      </c>
      <c r="X46" s="1" t="s">
        <v>327</v>
      </c>
      <c r="AP46" s="1" t="s">
        <v>328</v>
      </c>
      <c r="AR46" s="4" t="s">
        <v>329</v>
      </c>
      <c r="AW46" s="5" t="s">
        <v>330</v>
      </c>
      <c r="BC46" s="6" t="s">
        <v>331</v>
      </c>
    </row>
    <row r="47" spans="11:55" ht="28.8" x14ac:dyDescent="0.15">
      <c r="V47" s="1" t="s">
        <v>332</v>
      </c>
      <c r="AP47" s="1" t="s">
        <v>333</v>
      </c>
      <c r="AR47" s="4" t="s">
        <v>334</v>
      </c>
      <c r="AW47" s="5" t="s">
        <v>335</v>
      </c>
      <c r="BC47" s="6" t="s">
        <v>336</v>
      </c>
    </row>
    <row r="48" spans="11:55" ht="28.8" x14ac:dyDescent="0.15">
      <c r="AP48" s="1" t="s">
        <v>337</v>
      </c>
      <c r="AR48" s="1" t="s">
        <v>338</v>
      </c>
      <c r="AW48" s="6" t="s">
        <v>339</v>
      </c>
      <c r="BC48" s="6" t="s">
        <v>340</v>
      </c>
    </row>
    <row r="49" spans="42:55" ht="28.8" x14ac:dyDescent="0.15">
      <c r="AP49" s="1" t="s">
        <v>341</v>
      </c>
      <c r="AR49" s="1" t="s">
        <v>342</v>
      </c>
      <c r="AW49" s="6" t="s">
        <v>343</v>
      </c>
      <c r="BC49" s="6" t="s">
        <v>344</v>
      </c>
    </row>
    <row r="50" spans="42:55" ht="28.8" x14ac:dyDescent="0.15">
      <c r="AP50" s="1" t="s">
        <v>345</v>
      </c>
      <c r="AR50" s="1" t="s">
        <v>346</v>
      </c>
      <c r="AW50" s="6" t="s">
        <v>347</v>
      </c>
      <c r="BC50" s="6" t="s">
        <v>625</v>
      </c>
    </row>
    <row r="51" spans="42:55" ht="28.8" x14ac:dyDescent="0.15">
      <c r="AP51" s="1" t="s">
        <v>626</v>
      </c>
      <c r="AR51" s="1" t="s">
        <v>627</v>
      </c>
      <c r="AW51" s="6" t="s">
        <v>628</v>
      </c>
      <c r="BC51" s="6" t="s">
        <v>629</v>
      </c>
    </row>
    <row r="52" spans="42:55" ht="28.8" x14ac:dyDescent="0.15">
      <c r="AP52" s="1" t="s">
        <v>630</v>
      </c>
      <c r="AR52" s="1" t="s">
        <v>631</v>
      </c>
      <c r="AW52" s="6" t="s">
        <v>632</v>
      </c>
      <c r="BC52" s="6" t="s">
        <v>633</v>
      </c>
    </row>
    <row r="53" spans="42:55" ht="28.8" x14ac:dyDescent="0.15">
      <c r="AP53" s="1" t="s">
        <v>634</v>
      </c>
      <c r="AR53" s="1" t="s">
        <v>635</v>
      </c>
      <c r="AW53" s="6" t="s">
        <v>636</v>
      </c>
      <c r="BC53" s="6" t="s">
        <v>637</v>
      </c>
    </row>
    <row r="54" spans="42:55" ht="28.8" x14ac:dyDescent="0.15">
      <c r="AP54" s="1" t="s">
        <v>638</v>
      </c>
      <c r="AR54" s="1" t="s">
        <v>639</v>
      </c>
      <c r="AW54" s="6" t="s">
        <v>640</v>
      </c>
      <c r="BC54" s="6" t="s">
        <v>641</v>
      </c>
    </row>
    <row r="55" spans="42:55" ht="28.8" x14ac:dyDescent="0.15">
      <c r="AP55" s="1" t="s">
        <v>642</v>
      </c>
      <c r="AR55" s="1" t="s">
        <v>643</v>
      </c>
      <c r="AW55" s="6" t="s">
        <v>644</v>
      </c>
      <c r="BC55" s="6" t="s">
        <v>645</v>
      </c>
    </row>
    <row r="56" spans="42:55" ht="28.8" x14ac:dyDescent="0.15">
      <c r="AP56" s="1" t="s">
        <v>646</v>
      </c>
      <c r="AR56" s="1" t="s">
        <v>647</v>
      </c>
      <c r="AW56" s="6" t="s">
        <v>648</v>
      </c>
      <c r="BC56" s="6" t="s">
        <v>649</v>
      </c>
    </row>
    <row r="57" spans="42:55" ht="28.8" x14ac:dyDescent="0.15">
      <c r="AP57" s="1" t="s">
        <v>650</v>
      </c>
      <c r="AR57" s="1" t="s">
        <v>651</v>
      </c>
      <c r="AW57" s="6" t="s">
        <v>652</v>
      </c>
      <c r="BC57" s="6" t="s">
        <v>653</v>
      </c>
    </row>
    <row r="58" spans="42:55" ht="28.8" x14ac:dyDescent="0.15">
      <c r="AP58" s="1" t="s">
        <v>654</v>
      </c>
      <c r="AR58" s="1" t="s">
        <v>655</v>
      </c>
      <c r="AW58" s="6" t="s">
        <v>656</v>
      </c>
      <c r="BC58" s="6" t="s">
        <v>657</v>
      </c>
    </row>
    <row r="59" spans="42:55" ht="28.8" x14ac:dyDescent="0.15">
      <c r="AP59" s="1" t="s">
        <v>658</v>
      </c>
      <c r="BC59" s="6" t="s">
        <v>659</v>
      </c>
    </row>
    <row r="60" spans="42:55" ht="28.8" x14ac:dyDescent="0.15">
      <c r="AP60" s="1" t="s">
        <v>660</v>
      </c>
      <c r="AW60" s="2" t="s">
        <v>985</v>
      </c>
      <c r="BC60" s="6" t="s">
        <v>661</v>
      </c>
    </row>
    <row r="61" spans="42:55" ht="28.8" x14ac:dyDescent="0.15">
      <c r="AP61" s="1" t="s">
        <v>662</v>
      </c>
      <c r="AW61" s="5" t="s">
        <v>663</v>
      </c>
      <c r="BC61" s="6" t="s">
        <v>664</v>
      </c>
    </row>
    <row r="62" spans="42:55" ht="28.8" x14ac:dyDescent="0.15">
      <c r="AP62" s="1" t="s">
        <v>665</v>
      </c>
      <c r="AW62" s="5" t="s">
        <v>666</v>
      </c>
      <c r="BC62" s="6" t="s">
        <v>667</v>
      </c>
    </row>
    <row r="63" spans="42:55" ht="28.8" x14ac:dyDescent="0.15">
      <c r="AP63" s="1" t="s">
        <v>668</v>
      </c>
      <c r="AW63" s="5" t="s">
        <v>669</v>
      </c>
      <c r="BC63" s="6" t="s">
        <v>670</v>
      </c>
    </row>
    <row r="64" spans="42:55" ht="28.8" x14ac:dyDescent="0.15">
      <c r="AP64" s="1" t="s">
        <v>671</v>
      </c>
      <c r="AW64" s="5" t="s">
        <v>672</v>
      </c>
      <c r="BC64" s="6" t="s">
        <v>673</v>
      </c>
    </row>
    <row r="65" spans="42:55" ht="28.8" x14ac:dyDescent="0.15">
      <c r="AP65" s="1" t="s">
        <v>674</v>
      </c>
      <c r="AW65" s="5" t="s">
        <v>675</v>
      </c>
      <c r="BC65" s="6" t="s">
        <v>676</v>
      </c>
    </row>
    <row r="66" spans="42:55" ht="28.8" x14ac:dyDescent="0.15">
      <c r="AP66" s="1" t="s">
        <v>677</v>
      </c>
      <c r="AW66" s="5" t="s">
        <v>678</v>
      </c>
      <c r="BC66" s="6" t="s">
        <v>679</v>
      </c>
    </row>
    <row r="67" spans="42:55" ht="28.8" x14ac:dyDescent="0.15">
      <c r="AP67" s="1" t="s">
        <v>680</v>
      </c>
      <c r="AW67" s="6" t="s">
        <v>681</v>
      </c>
      <c r="BC67" s="6" t="s">
        <v>682</v>
      </c>
    </row>
    <row r="68" spans="42:55" ht="28.8" x14ac:dyDescent="0.15">
      <c r="AP68" s="1" t="s">
        <v>683</v>
      </c>
      <c r="AW68" s="6" t="s">
        <v>684</v>
      </c>
      <c r="BC68" s="6" t="s">
        <v>685</v>
      </c>
    </row>
    <row r="69" spans="42:55" ht="28.8" x14ac:dyDescent="0.15">
      <c r="AP69" s="1" t="s">
        <v>686</v>
      </c>
      <c r="AW69" s="6" t="s">
        <v>687</v>
      </c>
      <c r="BC69" s="6" t="s">
        <v>688</v>
      </c>
    </row>
    <row r="70" spans="42:55" ht="24" x14ac:dyDescent="0.15">
      <c r="AP70" s="1" t="s">
        <v>398</v>
      </c>
      <c r="AW70" s="6" t="s">
        <v>399</v>
      </c>
      <c r="BC70" s="5" t="s">
        <v>400</v>
      </c>
    </row>
    <row r="71" spans="42:55" ht="24" x14ac:dyDescent="0.15">
      <c r="AP71" s="1" t="s">
        <v>401</v>
      </c>
      <c r="AW71" s="6" t="s">
        <v>402</v>
      </c>
      <c r="BC71" s="5" t="s">
        <v>403</v>
      </c>
    </row>
    <row r="72" spans="42:55" ht="28.8" x14ac:dyDescent="0.15">
      <c r="AP72" s="1" t="s">
        <v>404</v>
      </c>
      <c r="AW72" s="6" t="s">
        <v>405</v>
      </c>
      <c r="BC72" s="6" t="s">
        <v>406</v>
      </c>
    </row>
    <row r="73" spans="42:55" ht="28.8" x14ac:dyDescent="0.15">
      <c r="AP73" s="1" t="s">
        <v>407</v>
      </c>
      <c r="AW73" s="6" t="s">
        <v>408</v>
      </c>
      <c r="BC73" s="6" t="s">
        <v>409</v>
      </c>
    </row>
    <row r="74" spans="42:55" ht="28.8" x14ac:dyDescent="0.15">
      <c r="AP74" s="1" t="s">
        <v>410</v>
      </c>
      <c r="AW74" s="6" t="s">
        <v>411</v>
      </c>
      <c r="BC74" s="6" t="s">
        <v>412</v>
      </c>
    </row>
    <row r="75" spans="42:55" ht="28.8" x14ac:dyDescent="0.15">
      <c r="AW75" s="6" t="s">
        <v>413</v>
      </c>
      <c r="BC75" s="6" t="s">
        <v>414</v>
      </c>
    </row>
    <row r="76" spans="42:55" ht="28.8" x14ac:dyDescent="0.15">
      <c r="AW76" s="6" t="s">
        <v>415</v>
      </c>
      <c r="BC76" s="6" t="s">
        <v>416</v>
      </c>
    </row>
    <row r="77" spans="42:55" ht="28.8" x14ac:dyDescent="0.15">
      <c r="AW77" s="6" t="s">
        <v>417</v>
      </c>
      <c r="BC77" s="6" t="s">
        <v>418</v>
      </c>
    </row>
    <row r="78" spans="42:55" ht="28.8" x14ac:dyDescent="0.15">
      <c r="AW78" s="6" t="s">
        <v>419</v>
      </c>
      <c r="BC78" s="6" t="s">
        <v>420</v>
      </c>
    </row>
    <row r="79" spans="42:55" ht="28.8" x14ac:dyDescent="0.15">
      <c r="AW79" s="6" t="s">
        <v>421</v>
      </c>
      <c r="BC79" s="6" t="s">
        <v>422</v>
      </c>
    </row>
    <row r="80" spans="42:55" ht="28.8" x14ac:dyDescent="0.15">
      <c r="AW80" s="6" t="s">
        <v>423</v>
      </c>
      <c r="BC80" s="6" t="s">
        <v>153</v>
      </c>
    </row>
    <row r="81" spans="49:56" ht="28.8" x14ac:dyDescent="0.15">
      <c r="AW81" s="6" t="s">
        <v>424</v>
      </c>
      <c r="BC81" s="6" t="s">
        <v>425</v>
      </c>
    </row>
    <row r="82" spans="49:56" ht="28.8" x14ac:dyDescent="0.15">
      <c r="AW82" s="6" t="s">
        <v>426</v>
      </c>
      <c r="BC82" s="6" t="s">
        <v>427</v>
      </c>
    </row>
    <row r="83" spans="49:56" ht="28.8" x14ac:dyDescent="0.15">
      <c r="AW83" s="6" t="s">
        <v>428</v>
      </c>
      <c r="BC83" s="6" t="s">
        <v>429</v>
      </c>
    </row>
    <row r="84" spans="49:56" ht="28.8" x14ac:dyDescent="0.15">
      <c r="AW84" s="6" t="s">
        <v>430</v>
      </c>
      <c r="BC84" s="6" t="s">
        <v>431</v>
      </c>
    </row>
    <row r="85" spans="49:56" ht="28.8" x14ac:dyDescent="0.15">
      <c r="AW85" s="6" t="s">
        <v>432</v>
      </c>
      <c r="BC85" s="6" t="s">
        <v>433</v>
      </c>
    </row>
    <row r="86" spans="49:56" ht="28.8" x14ac:dyDescent="0.15">
      <c r="AW86" s="6" t="s">
        <v>434</v>
      </c>
      <c r="BC86" s="6" t="s">
        <v>435</v>
      </c>
    </row>
    <row r="87" spans="49:56" ht="28.8" x14ac:dyDescent="0.15">
      <c r="AW87" s="6" t="s">
        <v>436</v>
      </c>
      <c r="BC87" s="6" t="s">
        <v>437</v>
      </c>
    </row>
    <row r="88" spans="49:56" ht="28.8" x14ac:dyDescent="0.15">
      <c r="AW88" s="6" t="s">
        <v>438</v>
      </c>
      <c r="BC88" s="6" t="s">
        <v>439</v>
      </c>
    </row>
    <row r="89" spans="49:56" ht="28.8" x14ac:dyDescent="0.15">
      <c r="AW89" s="6" t="s">
        <v>440</v>
      </c>
      <c r="BC89" s="6" t="s">
        <v>441</v>
      </c>
    </row>
    <row r="90" spans="49:56" ht="28.8" x14ac:dyDescent="0.15">
      <c r="AW90" s="6" t="s">
        <v>442</v>
      </c>
      <c r="BC90" s="6" t="s">
        <v>443</v>
      </c>
    </row>
    <row r="91" spans="49:56" ht="28.8" x14ac:dyDescent="0.15">
      <c r="AW91" s="6" t="s">
        <v>444</v>
      </c>
      <c r="BC91" s="6" t="s">
        <v>183</v>
      </c>
    </row>
    <row r="92" spans="49:56" ht="28.8" x14ac:dyDescent="0.15">
      <c r="AW92" s="6" t="s">
        <v>184</v>
      </c>
      <c r="BC92" s="6" t="s">
        <v>185</v>
      </c>
    </row>
    <row r="93" spans="49:56" ht="28.8" x14ac:dyDescent="0.15">
      <c r="AW93" s="6" t="s">
        <v>186</v>
      </c>
      <c r="BC93" s="6" t="s">
        <v>187</v>
      </c>
      <c r="BD93" s="6"/>
    </row>
    <row r="94" spans="49:56" ht="28.8" x14ac:dyDescent="0.15">
      <c r="AW94" s="6" t="s">
        <v>188</v>
      </c>
      <c r="BC94" s="6" t="s">
        <v>189</v>
      </c>
    </row>
    <row r="95" spans="49:56" ht="28.8" x14ac:dyDescent="0.15">
      <c r="AW95" s="6" t="s">
        <v>190</v>
      </c>
      <c r="BC95" s="6" t="s">
        <v>191</v>
      </c>
    </row>
    <row r="96" spans="49:56" ht="28.8" x14ac:dyDescent="0.15">
      <c r="AW96" s="6" t="s">
        <v>192</v>
      </c>
      <c r="BC96" s="6" t="s">
        <v>193</v>
      </c>
    </row>
    <row r="97" spans="49:55" ht="28.8" x14ac:dyDescent="0.15">
      <c r="AW97" s="6" t="s">
        <v>194</v>
      </c>
      <c r="BC97" s="6" t="s">
        <v>195</v>
      </c>
    </row>
    <row r="98" spans="49:55" ht="28.8" x14ac:dyDescent="0.15">
      <c r="AW98" s="6" t="s">
        <v>196</v>
      </c>
      <c r="BC98" s="6" t="s">
        <v>197</v>
      </c>
    </row>
    <row r="99" spans="49:55" ht="28.8" x14ac:dyDescent="0.15">
      <c r="AW99" s="6" t="s">
        <v>198</v>
      </c>
      <c r="BC99" s="6" t="s">
        <v>199</v>
      </c>
    </row>
    <row r="100" spans="49:55" ht="28.8" x14ac:dyDescent="0.15">
      <c r="AW100" s="6" t="s">
        <v>200</v>
      </c>
      <c r="BC100" s="6" t="s">
        <v>201</v>
      </c>
    </row>
    <row r="101" spans="49:55" ht="28.8" x14ac:dyDescent="0.15">
      <c r="AW101" s="6" t="s">
        <v>202</v>
      </c>
      <c r="BC101" s="6" t="s">
        <v>203</v>
      </c>
    </row>
    <row r="102" spans="49:55" ht="28.8" x14ac:dyDescent="0.15">
      <c r="AW102" s="6" t="s">
        <v>204</v>
      </c>
      <c r="BC102" s="6" t="s">
        <v>205</v>
      </c>
    </row>
    <row r="103" spans="49:55" ht="28.8" x14ac:dyDescent="0.15">
      <c r="AW103" s="6" t="s">
        <v>206</v>
      </c>
      <c r="BC103" s="6" t="s">
        <v>207</v>
      </c>
    </row>
    <row r="104" spans="49:55" ht="28.8" x14ac:dyDescent="0.15">
      <c r="AW104" s="5" t="s">
        <v>208</v>
      </c>
      <c r="BC104" s="6" t="s">
        <v>209</v>
      </c>
    </row>
    <row r="105" spans="49:55" ht="28.8" x14ac:dyDescent="0.15">
      <c r="AW105" s="5" t="s">
        <v>210</v>
      </c>
      <c r="BC105" s="6" t="s">
        <v>211</v>
      </c>
    </row>
    <row r="106" spans="49:55" ht="28.8" x14ac:dyDescent="0.15">
      <c r="AW106" s="6" t="s">
        <v>212</v>
      </c>
      <c r="BC106" s="6" t="s">
        <v>213</v>
      </c>
    </row>
    <row r="107" spans="49:55" ht="28.8" x14ac:dyDescent="0.15">
      <c r="AW107" s="6" t="s">
        <v>214</v>
      </c>
      <c r="BC107" s="6" t="s">
        <v>215</v>
      </c>
    </row>
    <row r="108" spans="49:55" ht="28.8" x14ac:dyDescent="0.15">
      <c r="AW108" s="6" t="s">
        <v>216</v>
      </c>
      <c r="BC108" s="6" t="s">
        <v>482</v>
      </c>
    </row>
    <row r="109" spans="49:55" ht="28.8" x14ac:dyDescent="0.15">
      <c r="AW109" s="6" t="s">
        <v>483</v>
      </c>
      <c r="BC109" s="6" t="s">
        <v>484</v>
      </c>
    </row>
    <row r="110" spans="49:55" ht="28.8" x14ac:dyDescent="0.15">
      <c r="AW110" s="6" t="s">
        <v>485</v>
      </c>
      <c r="BC110" s="6" t="s">
        <v>486</v>
      </c>
    </row>
    <row r="111" spans="49:55" ht="24" x14ac:dyDescent="0.15">
      <c r="AW111" s="6" t="s">
        <v>487</v>
      </c>
      <c r="BC111" s="5" t="s">
        <v>488</v>
      </c>
    </row>
    <row r="112" spans="49:55" ht="24" x14ac:dyDescent="0.15">
      <c r="AW112" s="6" t="s">
        <v>489</v>
      </c>
      <c r="BC112" s="5" t="s">
        <v>490</v>
      </c>
    </row>
    <row r="113" spans="49:55" ht="24" x14ac:dyDescent="0.15">
      <c r="AW113" s="6" t="s">
        <v>491</v>
      </c>
      <c r="BC113" s="5" t="s">
        <v>492</v>
      </c>
    </row>
    <row r="114" spans="49:55" ht="28.8" x14ac:dyDescent="0.15">
      <c r="AW114" s="6" t="s">
        <v>493</v>
      </c>
      <c r="BC114" s="6" t="s">
        <v>494</v>
      </c>
    </row>
    <row r="115" spans="49:55" ht="28.8" x14ac:dyDescent="0.15">
      <c r="AW115" s="6" t="s">
        <v>495</v>
      </c>
      <c r="BC115" s="6" t="s">
        <v>496</v>
      </c>
    </row>
    <row r="116" spans="49:55" ht="28.8" x14ac:dyDescent="0.15">
      <c r="AW116" s="6" t="s">
        <v>497</v>
      </c>
      <c r="BC116" s="6" t="s">
        <v>498</v>
      </c>
    </row>
    <row r="117" spans="49:55" ht="24" x14ac:dyDescent="0.15">
      <c r="BC117" s="5" t="s">
        <v>499</v>
      </c>
    </row>
    <row r="118" spans="49:55" ht="28.8" x14ac:dyDescent="0.15">
      <c r="BC118" s="6" t="s">
        <v>500</v>
      </c>
    </row>
    <row r="119" spans="49:55" ht="28.8" x14ac:dyDescent="0.15">
      <c r="BC119" s="6" t="s">
        <v>501</v>
      </c>
    </row>
    <row r="120" spans="49:55" ht="28.8" x14ac:dyDescent="0.15">
      <c r="BC120" s="6" t="s">
        <v>502</v>
      </c>
    </row>
    <row r="121" spans="49:55" ht="28.8" x14ac:dyDescent="0.15">
      <c r="BC121" s="6" t="s">
        <v>503</v>
      </c>
    </row>
    <row r="122" spans="49:55" ht="28.8" x14ac:dyDescent="0.15">
      <c r="BC122" s="6" t="s">
        <v>504</v>
      </c>
    </row>
    <row r="123" spans="49:55" ht="28.8" x14ac:dyDescent="0.15">
      <c r="BC123" s="6" t="s">
        <v>505</v>
      </c>
    </row>
    <row r="124" spans="49:55" ht="28.8" x14ac:dyDescent="0.15">
      <c r="BC124" s="6" t="s">
        <v>506</v>
      </c>
    </row>
    <row r="125" spans="49:55" ht="28.8" x14ac:dyDescent="0.15">
      <c r="BC125" s="6" t="s">
        <v>507</v>
      </c>
    </row>
    <row r="126" spans="49:55" ht="28.8" x14ac:dyDescent="0.15">
      <c r="BC126" s="6" t="s">
        <v>508</v>
      </c>
    </row>
    <row r="127" spans="49:55" ht="28.8" x14ac:dyDescent="0.15">
      <c r="BC127" s="6" t="s">
        <v>509</v>
      </c>
    </row>
    <row r="128" spans="49:55" ht="28.8" x14ac:dyDescent="0.15">
      <c r="BC128" s="6" t="s">
        <v>510</v>
      </c>
    </row>
    <row r="129" spans="55:55" ht="28.8" x14ac:dyDescent="0.15">
      <c r="BC129" s="6" t="s">
        <v>511</v>
      </c>
    </row>
    <row r="130" spans="55:55" ht="28.8" x14ac:dyDescent="0.15">
      <c r="BC130" s="6" t="s">
        <v>512</v>
      </c>
    </row>
    <row r="131" spans="55:55" ht="28.8" x14ac:dyDescent="0.15">
      <c r="BC131" s="6" t="s">
        <v>513</v>
      </c>
    </row>
    <row r="132" spans="55:55" ht="28.8" x14ac:dyDescent="0.15">
      <c r="BC132" s="6" t="s">
        <v>514</v>
      </c>
    </row>
    <row r="133" spans="55:55" ht="28.8" x14ac:dyDescent="0.15">
      <c r="BC133" s="6" t="s">
        <v>515</v>
      </c>
    </row>
    <row r="134" spans="55:55" ht="28.8" x14ac:dyDescent="0.15">
      <c r="BC134" s="6" t="s">
        <v>516</v>
      </c>
    </row>
    <row r="135" spans="55:55" ht="28.8" x14ac:dyDescent="0.15">
      <c r="BC135" s="6" t="s">
        <v>517</v>
      </c>
    </row>
    <row r="136" spans="55:55" ht="28.8" x14ac:dyDescent="0.15">
      <c r="BC136" s="6" t="s">
        <v>518</v>
      </c>
    </row>
    <row r="137" spans="55:55" ht="28.8" x14ac:dyDescent="0.15">
      <c r="BC137" s="6" t="s">
        <v>519</v>
      </c>
    </row>
    <row r="138" spans="55:55" ht="28.8" x14ac:dyDescent="0.15">
      <c r="BC138" s="6" t="s">
        <v>520</v>
      </c>
    </row>
    <row r="139" spans="55:55" ht="28.8" x14ac:dyDescent="0.15">
      <c r="BC139" s="6" t="s">
        <v>521</v>
      </c>
    </row>
    <row r="140" spans="55:55" ht="28.8" x14ac:dyDescent="0.15">
      <c r="BC140" s="6" t="s">
        <v>522</v>
      </c>
    </row>
    <row r="141" spans="55:55" ht="28.8" x14ac:dyDescent="0.15">
      <c r="BC141" s="6" t="s">
        <v>523</v>
      </c>
    </row>
    <row r="142" spans="55:55" ht="28.8" x14ac:dyDescent="0.15">
      <c r="BC142" s="6" t="s">
        <v>524</v>
      </c>
    </row>
    <row r="143" spans="55:55" ht="28.8" x14ac:dyDescent="0.15">
      <c r="BC143" s="6" t="s">
        <v>525</v>
      </c>
    </row>
    <row r="144" spans="55:55" ht="28.8" x14ac:dyDescent="0.15">
      <c r="BC144" s="6" t="s">
        <v>526</v>
      </c>
    </row>
    <row r="145" spans="55:55" ht="28.8" x14ac:dyDescent="0.15">
      <c r="BC145" s="6" t="s">
        <v>527</v>
      </c>
    </row>
    <row r="146" spans="55:55" x14ac:dyDescent="0.15">
      <c r="BC146" s="1" t="s">
        <v>528</v>
      </c>
    </row>
    <row r="147" spans="55:55" x14ac:dyDescent="0.15">
      <c r="BC147" s="1" t="s">
        <v>529</v>
      </c>
    </row>
    <row r="148" spans="55:55" x14ac:dyDescent="0.15">
      <c r="BC148" s="1" t="s">
        <v>530</v>
      </c>
    </row>
    <row r="149" spans="55:55" x14ac:dyDescent="0.15">
      <c r="BC149" s="1" t="s">
        <v>531</v>
      </c>
    </row>
    <row r="150" spans="55:55" x14ac:dyDescent="0.15">
      <c r="BC150" s="1" t="s">
        <v>532</v>
      </c>
    </row>
    <row r="151" spans="55:55" x14ac:dyDescent="0.15">
      <c r="BC151" s="1" t="s">
        <v>533</v>
      </c>
    </row>
    <row r="152" spans="55:55" x14ac:dyDescent="0.15">
      <c r="BC152" s="1" t="s">
        <v>534</v>
      </c>
    </row>
    <row r="153" spans="55:55" x14ac:dyDescent="0.15">
      <c r="BC153" s="1" t="s">
        <v>535</v>
      </c>
    </row>
    <row r="154" spans="55:55" x14ac:dyDescent="0.15">
      <c r="BC154" s="1" t="s">
        <v>536</v>
      </c>
    </row>
    <row r="155" spans="55:55" x14ac:dyDescent="0.15">
      <c r="BC155" s="1" t="s">
        <v>537</v>
      </c>
    </row>
  </sheetData>
  <sheetProtection selectLockedCells="1" selectUnlockedCells="1"/>
  <phoneticPr fontId="53"/>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68"/>
  <sheetViews>
    <sheetView tabSelected="1" topLeftCell="A7" workbookViewId="0">
      <selection activeCell="H13" sqref="H13"/>
    </sheetView>
  </sheetViews>
  <sheetFormatPr defaultColWidth="10.109375" defaultRowHeight="13.95" customHeight="1" x14ac:dyDescent="0.15"/>
  <cols>
    <col min="1" max="16" width="10.109375" style="8"/>
    <col min="17" max="17" width="10.109375" style="9"/>
    <col min="18" max="26" width="10.109375" style="8"/>
    <col min="27" max="27" width="10.109375" style="9"/>
    <col min="28" max="16384" width="10.109375" style="8"/>
  </cols>
  <sheetData>
    <row r="1" spans="1:51" ht="13.95"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s="4"/>
      <c r="AM1" s="4"/>
      <c r="AN1" s="4"/>
      <c r="AO1" s="4"/>
      <c r="AP1" s="4"/>
      <c r="AQ1" s="4"/>
      <c r="AR1" s="4"/>
      <c r="AS1" s="4"/>
      <c r="AT1" s="4"/>
      <c r="AU1" s="4"/>
      <c r="AV1" s="4"/>
      <c r="AW1" s="4"/>
      <c r="AX1" s="15"/>
    </row>
    <row r="2" spans="1:51" ht="13.95" customHeight="1" x14ac:dyDescent="0.15">
      <c r="A2" s="10"/>
      <c r="B2" s="412" t="s">
        <v>538</v>
      </c>
      <c r="C2" s="412"/>
      <c r="D2" s="412"/>
      <c r="E2" s="412"/>
      <c r="F2" s="412"/>
      <c r="G2" s="412"/>
      <c r="H2" s="412"/>
      <c r="I2" s="412"/>
      <c r="J2" s="413" t="s">
        <v>539</v>
      </c>
      <c r="K2" s="413"/>
      <c r="L2" s="413"/>
      <c r="M2" s="10"/>
      <c r="N2" s="320" t="s">
        <v>540</v>
      </c>
      <c r="O2" s="320"/>
      <c r="P2" s="320"/>
      <c r="Q2" s="320"/>
      <c r="R2" s="10"/>
      <c r="S2" s="13"/>
      <c r="T2" s="414" t="s">
        <v>259</v>
      </c>
      <c r="U2" s="414"/>
      <c r="V2" s="414"/>
      <c r="W2" s="414"/>
      <c r="X2" s="414"/>
      <c r="Y2" s="414"/>
      <c r="Z2" s="414"/>
      <c r="AA2" s="414"/>
      <c r="AB2" s="13"/>
      <c r="AC2" s="13"/>
      <c r="AD2" s="13"/>
      <c r="AE2" s="13"/>
      <c r="AF2" s="13"/>
      <c r="AG2" s="13"/>
      <c r="AH2" s="13"/>
      <c r="AI2" s="13"/>
      <c r="AJ2" s="13"/>
      <c r="AK2" s="16"/>
      <c r="AL2" s="4"/>
      <c r="AM2" s="4"/>
      <c r="AN2" s="4"/>
      <c r="AO2" s="4"/>
      <c r="AP2" s="4"/>
      <c r="AQ2" s="4"/>
      <c r="AR2" s="4"/>
      <c r="AS2" s="4"/>
      <c r="AT2" s="4"/>
      <c r="AU2" s="4"/>
      <c r="AV2" s="4"/>
      <c r="AW2" s="4"/>
      <c r="AX2" s="15"/>
    </row>
    <row r="3" spans="1:51" ht="13.95" customHeight="1" x14ac:dyDescent="0.15">
      <c r="A3" s="10"/>
      <c r="B3" s="415" t="s">
        <v>975</v>
      </c>
      <c r="C3" s="415"/>
      <c r="D3" s="415"/>
      <c r="E3" s="415"/>
      <c r="F3" s="415"/>
      <c r="G3" s="415"/>
      <c r="H3" s="415"/>
      <c r="I3" s="415"/>
      <c r="J3" s="416" t="s">
        <v>863</v>
      </c>
      <c r="K3" s="416"/>
      <c r="L3" s="416"/>
      <c r="M3" s="10"/>
      <c r="N3" s="417" t="s">
        <v>260</v>
      </c>
      <c r="O3" s="417"/>
      <c r="P3" s="418" t="s">
        <v>624</v>
      </c>
      <c r="Q3" s="418"/>
      <c r="R3" s="10"/>
      <c r="S3" s="17"/>
      <c r="T3" s="17"/>
      <c r="U3" s="17"/>
      <c r="V3" s="17"/>
      <c r="W3" s="17"/>
      <c r="X3" s="17"/>
      <c r="Y3" s="17"/>
      <c r="Z3" s="17"/>
      <c r="AA3" s="17"/>
      <c r="AB3" s="13"/>
      <c r="AC3" s="404" t="s">
        <v>261</v>
      </c>
      <c r="AD3" s="404"/>
      <c r="AE3" s="404"/>
      <c r="AF3" s="18" t="s">
        <v>262</v>
      </c>
      <c r="AG3" s="404" t="s">
        <v>261</v>
      </c>
      <c r="AH3" s="404"/>
      <c r="AI3" s="404"/>
      <c r="AJ3" s="18" t="s">
        <v>262</v>
      </c>
      <c r="AK3" s="16"/>
      <c r="AL3" s="4"/>
      <c r="AM3" s="4"/>
      <c r="AN3" s="4"/>
      <c r="AO3" s="4"/>
      <c r="AP3" s="4"/>
      <c r="AQ3" s="4"/>
      <c r="AR3" s="4"/>
      <c r="AS3" s="4"/>
      <c r="AT3" s="4"/>
      <c r="AU3" s="4"/>
      <c r="AV3" s="4"/>
      <c r="AW3" s="4"/>
      <c r="AX3" s="15"/>
    </row>
    <row r="4" spans="1:51" ht="13.95" customHeight="1" x14ac:dyDescent="0.15">
      <c r="A4" s="10"/>
      <c r="B4" s="415"/>
      <c r="C4" s="415"/>
      <c r="D4" s="415"/>
      <c r="E4" s="415"/>
      <c r="F4" s="415"/>
      <c r="G4" s="415"/>
      <c r="H4" s="415"/>
      <c r="I4" s="415"/>
      <c r="J4" s="416"/>
      <c r="K4" s="416"/>
      <c r="L4" s="416"/>
      <c r="M4" s="10"/>
      <c r="N4" s="405" t="s">
        <v>263</v>
      </c>
      <c r="O4" s="405"/>
      <c r="P4" s="406">
        <v>5</v>
      </c>
      <c r="Q4" s="406"/>
      <c r="R4" s="10"/>
      <c r="S4" s="17"/>
      <c r="T4" s="20"/>
      <c r="U4" s="21" t="s">
        <v>264</v>
      </c>
      <c r="V4" s="22"/>
      <c r="W4" s="21" t="s">
        <v>265</v>
      </c>
      <c r="X4" s="23"/>
      <c r="Y4" s="21" t="s">
        <v>266</v>
      </c>
      <c r="Z4" s="24"/>
      <c r="AA4" s="21" t="s">
        <v>267</v>
      </c>
      <c r="AB4" s="13"/>
      <c r="AC4" s="407" t="s">
        <v>744</v>
      </c>
      <c r="AD4" s="407"/>
      <c r="AE4" s="25">
        <f>(AA10*2)</f>
        <v>10</v>
      </c>
      <c r="AF4" s="26">
        <f>IF(AA16&lt;18,IF(AA16&lt;14,IF(AA16&lt;10,IF(AA16&lt;5,IF(AA16&lt;3,"-2","-1"),0),"+1"),"+2"),"+3")</f>
        <v>0</v>
      </c>
      <c r="AG4" s="384" t="s">
        <v>970</v>
      </c>
      <c r="AH4" s="384"/>
      <c r="AI4" s="27">
        <f>AA14+AA15</f>
        <v>14</v>
      </c>
      <c r="AJ4" s="26">
        <f>IF(AA16&lt;18,IF(AA16&lt;14,IF(AA16&lt;10,IF(AA16&lt;5,IF(AA16&lt;3,"-2","-1"),0),"+1"),"+2"),"+3")</f>
        <v>0</v>
      </c>
      <c r="AK4" s="16"/>
      <c r="AL4" s="4"/>
      <c r="AM4" s="4"/>
      <c r="AN4" s="4"/>
      <c r="AO4" s="4"/>
      <c r="AP4" s="4"/>
      <c r="AQ4" s="4"/>
      <c r="AR4" s="4"/>
      <c r="AS4" s="4"/>
      <c r="AT4" s="4"/>
      <c r="AU4" s="4"/>
      <c r="AV4" s="4"/>
      <c r="AW4" s="4"/>
      <c r="AX4" s="15"/>
    </row>
    <row r="5" spans="1:51" ht="13.95" customHeight="1" x14ac:dyDescent="0.15">
      <c r="A5" s="10"/>
      <c r="B5" s="356" t="s">
        <v>268</v>
      </c>
      <c r="C5" s="356"/>
      <c r="D5" s="408" t="s">
        <v>269</v>
      </c>
      <c r="E5" s="408"/>
      <c r="F5" s="408" t="s">
        <v>270</v>
      </c>
      <c r="G5" s="408"/>
      <c r="H5" s="408" t="s">
        <v>708</v>
      </c>
      <c r="I5" s="408"/>
      <c r="J5" s="409" t="s">
        <v>715</v>
      </c>
      <c r="K5" s="409"/>
      <c r="L5" s="409"/>
      <c r="M5" s="10"/>
      <c r="N5" s="410" t="s">
        <v>271</v>
      </c>
      <c r="O5" s="410"/>
      <c r="P5" s="411" t="s">
        <v>985</v>
      </c>
      <c r="Q5" s="411"/>
      <c r="R5" s="10"/>
      <c r="S5" s="17"/>
      <c r="T5" s="17"/>
      <c r="U5" s="17"/>
      <c r="V5" s="17"/>
      <c r="W5" s="17"/>
      <c r="X5" s="17"/>
      <c r="Y5" s="17"/>
      <c r="Z5" s="17"/>
      <c r="AA5" s="17"/>
      <c r="AB5" s="13"/>
      <c r="AC5" s="384" t="s">
        <v>1018</v>
      </c>
      <c r="AD5" s="384"/>
      <c r="AE5" s="27">
        <f>AA10+AA11</f>
        <v>9</v>
      </c>
      <c r="AF5" s="26">
        <f>IF(AA16&lt;18,IF(AA16&lt;14,IF(AA16&lt;10,IF(AA16&lt;5,IF(AA16&lt;3,"-2","-1"),0),"+1"),"+2"),"+3")</f>
        <v>0</v>
      </c>
      <c r="AG5" s="384" t="s">
        <v>733</v>
      </c>
      <c r="AH5" s="384"/>
      <c r="AI5" s="27">
        <f>(AA15*2)</f>
        <v>4</v>
      </c>
      <c r="AJ5" s="26">
        <f>IF(AA16&lt;18,IF(AA16&lt;14,IF(AA16&lt;10,IF(AA16&lt;5,IF(AA16&lt;3,"-2","-1"),0),"+1"),"+2"),"+3")</f>
        <v>0</v>
      </c>
      <c r="AK5" s="16"/>
      <c r="AL5" s="4"/>
      <c r="AM5" s="4"/>
      <c r="AN5" s="4"/>
      <c r="AO5" s="4"/>
      <c r="AP5" s="4"/>
      <c r="AQ5" s="4"/>
      <c r="AR5" s="4"/>
      <c r="AS5" s="4"/>
      <c r="AT5" s="4"/>
      <c r="AU5" s="4"/>
      <c r="AV5" s="4"/>
      <c r="AW5" s="4"/>
      <c r="AX5" s="15"/>
    </row>
    <row r="6" spans="1:51" ht="13.95" customHeight="1" x14ac:dyDescent="0.15">
      <c r="A6" s="10"/>
      <c r="B6" s="389" t="s">
        <v>901</v>
      </c>
      <c r="C6" s="389"/>
      <c r="D6" s="390">
        <v>16</v>
      </c>
      <c r="E6" s="390"/>
      <c r="F6" s="391" t="s">
        <v>36</v>
      </c>
      <c r="G6" s="391"/>
      <c r="H6" s="392" t="s">
        <v>739</v>
      </c>
      <c r="I6" s="392"/>
      <c r="J6" s="393" t="s">
        <v>786</v>
      </c>
      <c r="K6" s="393"/>
      <c r="L6" s="393"/>
      <c r="M6" s="10"/>
      <c r="N6" s="394" t="s">
        <v>272</v>
      </c>
      <c r="O6" s="394"/>
      <c r="P6" s="402" t="s">
        <v>985</v>
      </c>
      <c r="Q6" s="402"/>
      <c r="R6" s="10"/>
      <c r="S6" s="17"/>
      <c r="T6" s="403" t="s">
        <v>273</v>
      </c>
      <c r="U6" s="403"/>
      <c r="V6" s="17"/>
      <c r="W6" s="17"/>
      <c r="X6" s="17"/>
      <c r="Y6" s="17"/>
      <c r="Z6" s="17"/>
      <c r="AA6" s="17"/>
      <c r="AB6" s="13"/>
      <c r="AC6" s="384" t="s">
        <v>851</v>
      </c>
      <c r="AD6" s="384"/>
      <c r="AE6" s="27">
        <f>ROUNDDOWN((AA55/2),0)+AA12</f>
        <v>12</v>
      </c>
      <c r="AF6" s="26">
        <f>IF(AA16&lt;18,IF(AA16&lt;14,IF(AA16&lt;10,IF(AA16&lt;5,IF(AA16&lt;3,"-2","-1"),0),"+1"),"+2"),"+3")</f>
        <v>0</v>
      </c>
      <c r="AG6" s="384" t="s">
        <v>468</v>
      </c>
      <c r="AH6" s="384"/>
      <c r="AI6" s="27">
        <f>AA14+AA12</f>
        <v>18</v>
      </c>
      <c r="AJ6" s="26">
        <f>IF(AA16&lt;18,IF(AA16&lt;14,IF(AA16&lt;10,IF(AA16&lt;5,IF(AA16&lt;3,"-2","-1"),0),"+1"),"+2"),"+3")</f>
        <v>0</v>
      </c>
      <c r="AK6" s="16"/>
      <c r="AL6" s="4"/>
      <c r="AM6" s="4"/>
      <c r="AN6" s="4"/>
      <c r="AO6" s="4"/>
      <c r="AP6" s="4"/>
      <c r="AQ6" s="4"/>
      <c r="AR6" s="4"/>
      <c r="AS6" s="4"/>
      <c r="AT6" s="4"/>
      <c r="AU6" s="4"/>
      <c r="AV6" s="4"/>
      <c r="AW6" s="4"/>
      <c r="AX6" s="15"/>
    </row>
    <row r="7" spans="1:51" ht="13.95" customHeight="1" x14ac:dyDescent="0.15">
      <c r="A7" s="10"/>
      <c r="B7" s="348" t="s">
        <v>274</v>
      </c>
      <c r="C7" s="348"/>
      <c r="D7" s="395" t="s">
        <v>71</v>
      </c>
      <c r="E7" s="395"/>
      <c r="F7" s="395"/>
      <c r="G7" s="395"/>
      <c r="H7" s="395"/>
      <c r="I7" s="395"/>
      <c r="J7" s="28" t="s">
        <v>705</v>
      </c>
      <c r="K7" s="396" t="s">
        <v>848</v>
      </c>
      <c r="L7" s="396"/>
      <c r="M7" s="10"/>
      <c r="N7" s="397" t="s">
        <v>985</v>
      </c>
      <c r="O7" s="397"/>
      <c r="P7" s="398" t="s">
        <v>985</v>
      </c>
      <c r="Q7" s="398"/>
      <c r="R7" s="10"/>
      <c r="S7" s="13"/>
      <c r="T7" s="399" t="s">
        <v>700</v>
      </c>
      <c r="U7" s="399"/>
      <c r="V7" s="400" t="str">
        <f>C10</f>
        <v>トランサー</v>
      </c>
      <c r="W7" s="400"/>
      <c r="X7" s="399" t="s">
        <v>702</v>
      </c>
      <c r="Y7" s="399"/>
      <c r="Z7" s="401" t="str">
        <f>F10</f>
        <v>ナチュラル</v>
      </c>
      <c r="AA7" s="401"/>
      <c r="AB7" s="13"/>
      <c r="AC7" s="384" t="s">
        <v>876</v>
      </c>
      <c r="AD7" s="384"/>
      <c r="AE7" s="27">
        <f>ROUNDDOWN((AA55/2),0)+AA15</f>
        <v>8</v>
      </c>
      <c r="AF7" s="26">
        <f>IF(AA16&lt;18,IF(AA16&lt;14,IF(AA16&lt;10,IF(AA16&lt;5,IF(AA16&lt;3,"-2","-1"),0),"+1"),"+2"),"+3")</f>
        <v>0</v>
      </c>
      <c r="AG7" s="384" t="s">
        <v>792</v>
      </c>
      <c r="AH7" s="384"/>
      <c r="AI7" s="27">
        <f>ROUNDDOWN((AA55/2),0)+AA13</f>
        <v>18</v>
      </c>
      <c r="AJ7" s="26">
        <f>IF(AA16&lt;18,IF(AA16&lt;14,IF(AA16&lt;10,IF(AA16&lt;5,IF(AA16&lt;3,"-2","-1"),0),"+1"),"+2"),"+3")</f>
        <v>0</v>
      </c>
      <c r="AK7" s="16"/>
      <c r="AL7" s="4"/>
      <c r="AM7" s="4"/>
      <c r="AN7" s="4"/>
      <c r="AO7" s="4"/>
      <c r="AP7" s="4"/>
      <c r="AQ7" s="4"/>
      <c r="AR7" s="4"/>
      <c r="AS7" s="4"/>
      <c r="AT7" s="4"/>
      <c r="AU7" s="4"/>
      <c r="AV7" s="4"/>
      <c r="AW7" s="4"/>
      <c r="AX7" s="15"/>
    </row>
    <row r="8" spans="1:51" ht="13.95" customHeight="1" x14ac:dyDescent="0.15">
      <c r="A8" s="10"/>
      <c r="B8" s="348"/>
      <c r="C8" s="348"/>
      <c r="D8" s="395"/>
      <c r="E8" s="395"/>
      <c r="F8" s="395"/>
      <c r="G8" s="395"/>
      <c r="H8" s="395"/>
      <c r="I8" s="395"/>
      <c r="J8" s="29" t="s">
        <v>703</v>
      </c>
      <c r="K8" s="385" t="s">
        <v>756</v>
      </c>
      <c r="L8" s="385"/>
      <c r="M8" s="10"/>
      <c r="N8" s="386" t="s">
        <v>985</v>
      </c>
      <c r="O8" s="386"/>
      <c r="P8" s="387" t="s">
        <v>985</v>
      </c>
      <c r="Q8" s="387"/>
      <c r="R8" s="10"/>
      <c r="S8" s="13"/>
      <c r="T8" s="388" t="s">
        <v>275</v>
      </c>
      <c r="U8" s="388"/>
      <c r="V8" s="388"/>
      <c r="W8" s="388"/>
      <c r="X8" s="388"/>
      <c r="Y8" s="388"/>
      <c r="Z8" s="388"/>
      <c r="AA8" s="30" t="s">
        <v>276</v>
      </c>
      <c r="AB8" s="13"/>
      <c r="AC8" s="384" t="s">
        <v>615</v>
      </c>
      <c r="AD8" s="384"/>
      <c r="AE8" s="27">
        <f>(AA12*2)</f>
        <v>12</v>
      </c>
      <c r="AF8" s="26">
        <f>IF(AA16&lt;18,IF(AA16&lt;14,IF(AA16&lt;10,IF(AA16&lt;5,IF(AA16&lt;3,"-2","-1"),0),"+1"),"+2"),"+3")</f>
        <v>0</v>
      </c>
      <c r="AG8" s="384" t="s">
        <v>819</v>
      </c>
      <c r="AH8" s="384"/>
      <c r="AI8" s="27">
        <f>ROUNDDOWN((AA55/2),0)+AA16</f>
        <v>12</v>
      </c>
      <c r="AJ8" s="26">
        <f>IF(AA16&lt;18,IF(AA16&lt;14,IF(AA16&lt;10,IF(AA16&lt;5,IF(AA16&lt;3,"-2","-1"),0),"+1"),"+2"),"+3")</f>
        <v>0</v>
      </c>
      <c r="AK8" s="16"/>
      <c r="AL8" s="4"/>
      <c r="AM8" s="4"/>
      <c r="AN8" s="4"/>
      <c r="AO8" s="4"/>
      <c r="AP8" s="4"/>
      <c r="AQ8" s="4"/>
      <c r="AR8" s="4"/>
      <c r="AS8" s="4"/>
      <c r="AT8" s="4"/>
      <c r="AU8" s="4"/>
      <c r="AV8" s="4"/>
      <c r="AW8" s="4"/>
      <c r="AX8" s="15"/>
    </row>
    <row r="9" spans="1:51" ht="13.95" customHeight="1" x14ac:dyDescent="0.15">
      <c r="A9" s="10"/>
      <c r="B9" s="10"/>
      <c r="C9" s="10"/>
      <c r="D9" s="10"/>
      <c r="E9" s="10"/>
      <c r="F9" s="10"/>
      <c r="G9" s="10"/>
      <c r="H9" s="10"/>
      <c r="I9" s="10"/>
      <c r="J9" s="10"/>
      <c r="K9" s="10"/>
      <c r="L9" s="10"/>
      <c r="M9" s="10"/>
      <c r="N9" s="10"/>
      <c r="O9" s="10"/>
      <c r="P9" s="10"/>
      <c r="Q9" s="10"/>
      <c r="R9" s="10"/>
      <c r="S9" s="13"/>
      <c r="T9" s="31"/>
      <c r="U9" s="32" t="s">
        <v>277</v>
      </c>
      <c r="V9" s="32" t="s">
        <v>278</v>
      </c>
      <c r="W9" s="33" t="s">
        <v>279</v>
      </c>
      <c r="X9" s="32" t="s">
        <v>280</v>
      </c>
      <c r="Y9" s="32" t="s">
        <v>281</v>
      </c>
      <c r="Z9" s="32" t="s">
        <v>282</v>
      </c>
      <c r="AA9" s="34" t="s">
        <v>47</v>
      </c>
      <c r="AB9" s="13"/>
      <c r="AC9" s="373" t="s">
        <v>931</v>
      </c>
      <c r="AD9" s="373"/>
      <c r="AE9" s="35">
        <f>AA14+AA13</f>
        <v>24</v>
      </c>
      <c r="AF9" s="36">
        <f>IF(AA16&lt;18,IF(AA16&lt;14,IF(AA16&lt;10,IF(AA16&lt;5,IF(AA16&lt;3,"-2","-1"),0),"+1"),"+2"),"+3")</f>
        <v>0</v>
      </c>
      <c r="AG9" s="373" t="s">
        <v>695</v>
      </c>
      <c r="AH9" s="373"/>
      <c r="AI9" s="35">
        <f>(AA16*2)</f>
        <v>12</v>
      </c>
      <c r="AJ9" s="36">
        <f>IF(AA16&lt;18,IF(AA16&lt;14,IF(AA16&lt;10,IF(AA16&lt;5,IF(AA16&lt;3,"-2","-1"),0),"+1"),"+2"),"+3")</f>
        <v>0</v>
      </c>
      <c r="AK9" s="16"/>
      <c r="AL9" s="4"/>
      <c r="AM9" s="4"/>
      <c r="AN9" s="4"/>
      <c r="AO9" s="4"/>
      <c r="AP9" s="4"/>
      <c r="AQ9" s="4"/>
      <c r="AR9" s="4"/>
      <c r="AS9" s="4"/>
      <c r="AT9" s="4"/>
      <c r="AU9" s="4"/>
      <c r="AV9" s="4"/>
      <c r="AW9" s="4"/>
      <c r="AX9" s="15"/>
    </row>
    <row r="10" spans="1:51" ht="13.95" customHeight="1" x14ac:dyDescent="0.15">
      <c r="A10" s="10"/>
      <c r="B10" s="361" t="s">
        <v>700</v>
      </c>
      <c r="C10" s="374" t="s">
        <v>1008</v>
      </c>
      <c r="D10" s="374"/>
      <c r="E10" s="363" t="s">
        <v>702</v>
      </c>
      <c r="F10" s="375" t="s">
        <v>990</v>
      </c>
      <c r="G10" s="375"/>
      <c r="H10" s="10"/>
      <c r="I10" s="10"/>
      <c r="J10" s="311" t="s">
        <v>48</v>
      </c>
      <c r="K10" s="311"/>
      <c r="L10" s="311"/>
      <c r="M10" s="311"/>
      <c r="N10" s="311"/>
      <c r="O10" s="311"/>
      <c r="P10" s="311"/>
      <c r="Q10" s="311"/>
      <c r="R10" s="10"/>
      <c r="S10" s="13"/>
      <c r="T10" s="37" t="s">
        <v>284</v>
      </c>
      <c r="U10" s="38">
        <v>4</v>
      </c>
      <c r="V10" s="39">
        <v>-1</v>
      </c>
      <c r="W10" s="40">
        <f t="shared" ref="W10:W16" si="0">SUM(U10:V10)</f>
        <v>3</v>
      </c>
      <c r="X10" s="38">
        <f>IF(C10="トランサー",2,0)</f>
        <v>2</v>
      </c>
      <c r="Y10" s="39"/>
      <c r="Z10" s="38">
        <f>IF(F10="サイボーグ",1,0)</f>
        <v>0</v>
      </c>
      <c r="AA10" s="41">
        <f>W10+AA24+SUM(X10:Z10)-T70</f>
        <v>5</v>
      </c>
      <c r="AB10" s="13"/>
      <c r="AC10" s="13"/>
      <c r="AD10" s="13"/>
      <c r="AE10" s="13"/>
      <c r="AF10" s="13"/>
      <c r="AG10" s="13"/>
      <c r="AH10" s="13"/>
      <c r="AI10" s="13"/>
      <c r="AJ10" s="13"/>
      <c r="AK10" s="14"/>
      <c r="AL10" s="4"/>
      <c r="AM10" s="4"/>
      <c r="AN10" s="4"/>
      <c r="AO10" s="4"/>
      <c r="AP10" s="4"/>
      <c r="AQ10" s="4"/>
      <c r="AR10" s="4"/>
      <c r="AS10" s="4"/>
      <c r="AT10" s="4"/>
      <c r="AU10" s="4"/>
      <c r="AV10" s="4"/>
      <c r="AW10" s="4"/>
      <c r="AX10" s="15"/>
    </row>
    <row r="11" spans="1:51" ht="13.95" customHeight="1" x14ac:dyDescent="0.15">
      <c r="A11" s="10"/>
      <c r="B11" s="361"/>
      <c r="C11" s="374"/>
      <c r="D11" s="374"/>
      <c r="E11" s="363"/>
      <c r="F11" s="375"/>
      <c r="G11" s="375"/>
      <c r="H11" s="10"/>
      <c r="I11" s="10"/>
      <c r="J11" s="376" t="s">
        <v>713</v>
      </c>
      <c r="K11" s="376"/>
      <c r="L11" s="377" t="s">
        <v>542</v>
      </c>
      <c r="M11" s="377"/>
      <c r="N11" s="378" t="s">
        <v>285</v>
      </c>
      <c r="O11" s="378"/>
      <c r="P11" s="379" t="s">
        <v>479</v>
      </c>
      <c r="Q11" s="379"/>
      <c r="R11" s="10"/>
      <c r="S11" s="13"/>
      <c r="T11" s="37" t="s">
        <v>286</v>
      </c>
      <c r="U11" s="38">
        <v>4</v>
      </c>
      <c r="V11" s="39">
        <v>0</v>
      </c>
      <c r="W11" s="40">
        <f t="shared" si="0"/>
        <v>4</v>
      </c>
      <c r="X11" s="38">
        <f>IF(C10="サイキッカー",1,0)</f>
        <v>0</v>
      </c>
      <c r="Y11" s="39"/>
      <c r="Z11" s="38">
        <f>IF(F10="ロボット",1,0)</f>
        <v>0</v>
      </c>
      <c r="AA11" s="41">
        <f>W11+AA25+SUM(X11:Z11)-U70</f>
        <v>4</v>
      </c>
      <c r="AB11" s="13"/>
      <c r="AC11" s="13"/>
      <c r="AD11" s="13"/>
      <c r="AE11" s="13"/>
      <c r="AF11" s="13"/>
      <c r="AG11" s="13"/>
      <c r="AH11" s="13"/>
      <c r="AI11" s="13"/>
      <c r="AJ11" s="13"/>
      <c r="AK11" s="14"/>
      <c r="AL11" s="4"/>
      <c r="AM11" s="4"/>
      <c r="AN11" s="4"/>
      <c r="AO11" s="4"/>
      <c r="AP11" s="4"/>
      <c r="AQ11" s="4"/>
      <c r="AR11" s="4"/>
      <c r="AS11" s="4"/>
      <c r="AT11" s="4"/>
      <c r="AU11" s="4"/>
      <c r="AV11" s="4"/>
      <c r="AW11" s="4"/>
      <c r="AX11" s="15"/>
    </row>
    <row r="12" spans="1:51" ht="13.95" customHeight="1" x14ac:dyDescent="0.15">
      <c r="A12" s="10"/>
      <c r="B12" s="42"/>
      <c r="C12" s="10"/>
      <c r="D12" s="10"/>
      <c r="E12" s="10"/>
      <c r="F12" s="10"/>
      <c r="G12" s="10"/>
      <c r="H12" s="10"/>
      <c r="I12" s="10"/>
      <c r="J12" s="376"/>
      <c r="K12" s="376"/>
      <c r="L12" s="380" t="s">
        <v>1020</v>
      </c>
      <c r="M12" s="380"/>
      <c r="N12" s="381" t="s">
        <v>287</v>
      </c>
      <c r="O12" s="381"/>
      <c r="P12" s="382" t="s">
        <v>795</v>
      </c>
      <c r="Q12" s="382"/>
      <c r="R12" s="10"/>
      <c r="S12" s="13"/>
      <c r="T12" s="37" t="s">
        <v>288</v>
      </c>
      <c r="U12" s="38">
        <v>4</v>
      </c>
      <c r="V12" s="39">
        <v>2</v>
      </c>
      <c r="W12" s="40">
        <f t="shared" si="0"/>
        <v>6</v>
      </c>
      <c r="X12" s="38">
        <f>IF(C10="エスパー",1,0)+IF(C10="アンノウン",1,0)</f>
        <v>0</v>
      </c>
      <c r="Y12" s="39"/>
      <c r="Z12" s="38">
        <f>IF(F10="コーディネーター",1,0)</f>
        <v>0</v>
      </c>
      <c r="AA12" s="41">
        <f>W12+AA26+SUM(X12:Z12)-V70</f>
        <v>6</v>
      </c>
      <c r="AB12" s="13"/>
      <c r="AC12" s="383" t="s">
        <v>289</v>
      </c>
      <c r="AD12" s="383"/>
      <c r="AE12" s="383"/>
      <c r="AF12" s="383"/>
      <c r="AG12" s="383"/>
      <c r="AH12" s="383"/>
      <c r="AI12" s="383"/>
      <c r="AJ12" s="383"/>
      <c r="AK12" s="14"/>
      <c r="AL12" s="4"/>
      <c r="AM12" s="4"/>
      <c r="AN12" s="4"/>
      <c r="AO12" s="4"/>
      <c r="AP12" s="4"/>
      <c r="AQ12" s="4"/>
      <c r="AR12" s="4"/>
      <c r="AS12" s="4"/>
      <c r="AT12" s="4"/>
      <c r="AU12" s="4"/>
      <c r="AV12" s="4"/>
      <c r="AW12" s="4"/>
      <c r="AX12" s="15"/>
    </row>
    <row r="13" spans="1:51" ht="13.95" customHeight="1" x14ac:dyDescent="0.15">
      <c r="A13" s="10"/>
      <c r="B13" s="361" t="s">
        <v>704</v>
      </c>
      <c r="C13" s="362" t="s">
        <v>902</v>
      </c>
      <c r="D13" s="362"/>
      <c r="E13" s="363" t="s">
        <v>701</v>
      </c>
      <c r="F13" s="364" t="s">
        <v>988</v>
      </c>
      <c r="G13" s="364"/>
      <c r="H13" s="10"/>
      <c r="I13" s="10"/>
      <c r="J13" s="311" t="s">
        <v>290</v>
      </c>
      <c r="K13" s="311"/>
      <c r="L13" s="311"/>
      <c r="M13" s="311"/>
      <c r="N13" s="311"/>
      <c r="O13" s="43" t="s">
        <v>291</v>
      </c>
      <c r="P13" s="44" t="s">
        <v>292</v>
      </c>
      <c r="Q13" s="45" t="s">
        <v>292</v>
      </c>
      <c r="R13" s="10"/>
      <c r="S13" s="13"/>
      <c r="T13" s="37" t="s">
        <v>293</v>
      </c>
      <c r="U13" s="38">
        <v>4</v>
      </c>
      <c r="V13" s="39">
        <v>3</v>
      </c>
      <c r="W13" s="40">
        <f t="shared" si="0"/>
        <v>7</v>
      </c>
      <c r="X13" s="38">
        <f>IF(C10="エスパー",2,0)+IF(C10="クリエイター",1,0)</f>
        <v>0</v>
      </c>
      <c r="Y13" s="39"/>
      <c r="Z13" s="38">
        <f>IF(F10="ナチュラル",1,0)</f>
        <v>1</v>
      </c>
      <c r="AA13" s="41">
        <f>W13+AA27+SUM(X13:Z13)-W70</f>
        <v>12</v>
      </c>
      <c r="AB13" s="13"/>
      <c r="AC13" s="46" t="s">
        <v>294</v>
      </c>
      <c r="AD13" s="39" t="s">
        <v>295</v>
      </c>
      <c r="AE13" s="360" t="s">
        <v>296</v>
      </c>
      <c r="AF13" s="360"/>
      <c r="AG13" s="360" t="s">
        <v>297</v>
      </c>
      <c r="AH13" s="360"/>
      <c r="AI13" s="39" t="s">
        <v>298</v>
      </c>
      <c r="AJ13" s="47" t="s">
        <v>299</v>
      </c>
      <c r="AK13" s="16"/>
      <c r="AL13" s="4"/>
      <c r="AM13" s="4"/>
      <c r="AN13" s="4"/>
      <c r="AO13" s="4"/>
      <c r="AP13" s="4"/>
      <c r="AQ13" s="4"/>
      <c r="AR13" s="4"/>
      <c r="AS13" s="4"/>
      <c r="AT13" s="4"/>
      <c r="AU13" s="4"/>
      <c r="AV13" s="4"/>
      <c r="AW13" s="4"/>
      <c r="AX13" s="15"/>
    </row>
    <row r="14" spans="1:51" ht="13.95" customHeight="1" x14ac:dyDescent="0.15">
      <c r="A14" s="10"/>
      <c r="B14" s="361"/>
      <c r="C14" s="362"/>
      <c r="D14" s="362"/>
      <c r="E14" s="363"/>
      <c r="F14" s="364"/>
      <c r="G14" s="364"/>
      <c r="H14" s="10"/>
      <c r="I14" s="10"/>
      <c r="J14" s="369"/>
      <c r="K14" s="369"/>
      <c r="L14" s="369"/>
      <c r="M14" s="369"/>
      <c r="N14" s="369"/>
      <c r="O14" s="370" t="s">
        <v>300</v>
      </c>
      <c r="P14" s="370"/>
      <c r="Q14" s="48" t="s">
        <v>301</v>
      </c>
      <c r="R14" s="10"/>
      <c r="S14" s="13"/>
      <c r="T14" s="37" t="s">
        <v>302</v>
      </c>
      <c r="U14" s="38">
        <v>4</v>
      </c>
      <c r="V14" s="39">
        <v>7</v>
      </c>
      <c r="W14" s="40">
        <f t="shared" si="0"/>
        <v>11</v>
      </c>
      <c r="X14" s="38">
        <f>IF(C10="クリエイター",2,0)</f>
        <v>0</v>
      </c>
      <c r="Y14" s="39"/>
      <c r="Z14" s="38">
        <f>IF(F10="ハイブリッド",1,0)</f>
        <v>0</v>
      </c>
      <c r="AA14" s="41">
        <f>W14+AA28+SUM(X14:Z14)-X70</f>
        <v>12</v>
      </c>
      <c r="AB14" s="17"/>
      <c r="AC14" s="49" t="s">
        <v>303</v>
      </c>
      <c r="AD14" s="50" t="s">
        <v>304</v>
      </c>
      <c r="AE14" s="371" t="s">
        <v>305</v>
      </c>
      <c r="AF14" s="371"/>
      <c r="AG14" s="371" t="s">
        <v>306</v>
      </c>
      <c r="AH14" s="371"/>
      <c r="AI14" s="50" t="s">
        <v>307</v>
      </c>
      <c r="AJ14" s="51" t="s">
        <v>308</v>
      </c>
      <c r="AK14" s="16"/>
      <c r="AL14" s="4"/>
      <c r="AM14" s="4"/>
      <c r="AN14" s="4"/>
      <c r="AO14" s="4"/>
      <c r="AP14" s="4"/>
      <c r="AQ14" s="4"/>
      <c r="AR14" s="4"/>
      <c r="AS14" s="4"/>
      <c r="AT14" s="4"/>
      <c r="AU14" s="4"/>
      <c r="AV14" s="4"/>
      <c r="AW14" s="4"/>
      <c r="AX14" s="15"/>
      <c r="AY14" s="15"/>
    </row>
    <row r="15" spans="1:51" ht="13.95" customHeight="1" x14ac:dyDescent="0.15">
      <c r="A15" s="10"/>
      <c r="B15" s="10"/>
      <c r="C15" s="10"/>
      <c r="D15" s="10"/>
      <c r="E15" s="10"/>
      <c r="F15" s="10"/>
      <c r="G15" s="10"/>
      <c r="H15" s="10"/>
      <c r="I15" s="10"/>
      <c r="J15" s="369"/>
      <c r="K15" s="369"/>
      <c r="L15" s="369"/>
      <c r="M15" s="369"/>
      <c r="N15" s="369"/>
      <c r="O15" s="52" t="s">
        <v>744</v>
      </c>
      <c r="P15" s="53">
        <f t="shared" ref="P15:P20" si="1">ROUNDDOWN((AE4+AF4)/2,0)</f>
        <v>5</v>
      </c>
      <c r="Q15" s="54"/>
      <c r="R15" s="10"/>
      <c r="S15" s="13"/>
      <c r="T15" s="37" t="s">
        <v>309</v>
      </c>
      <c r="U15" s="38">
        <v>4</v>
      </c>
      <c r="V15" s="39">
        <v>-3</v>
      </c>
      <c r="W15" s="40">
        <f t="shared" si="0"/>
        <v>1</v>
      </c>
      <c r="X15" s="38">
        <f>IF(C10="サイキッカー",2,0)+IF(C10="トランサー",1,0)</f>
        <v>1</v>
      </c>
      <c r="Y15" s="39"/>
      <c r="Z15" s="38">
        <f>IF(F10="アンドロイド",1,0)</f>
        <v>0</v>
      </c>
      <c r="AA15" s="41">
        <f>W15+AA29+SUM(X15:Z15)-Y70</f>
        <v>2</v>
      </c>
      <c r="AB15" s="13"/>
      <c r="AC15" s="13"/>
      <c r="AD15" s="13"/>
      <c r="AE15" s="13"/>
      <c r="AF15" s="13"/>
      <c r="AG15" s="13"/>
      <c r="AH15" s="13"/>
      <c r="AI15" s="13"/>
      <c r="AJ15" s="13"/>
      <c r="AK15" s="16"/>
      <c r="AL15" s="4"/>
      <c r="AM15" s="4"/>
      <c r="AN15" s="4"/>
      <c r="AO15" s="4"/>
      <c r="AP15" s="4"/>
      <c r="AQ15" s="4"/>
      <c r="AR15" s="4"/>
      <c r="AS15" s="4"/>
      <c r="AT15" s="4"/>
      <c r="AU15" s="4"/>
      <c r="AV15" s="4"/>
      <c r="AW15" s="4"/>
      <c r="AX15" s="15"/>
      <c r="AY15" s="15"/>
    </row>
    <row r="16" spans="1:51" ht="13.95" customHeight="1" x14ac:dyDescent="0.15">
      <c r="A16" s="10"/>
      <c r="B16" s="312" t="s">
        <v>310</v>
      </c>
      <c r="C16" s="312"/>
      <c r="D16" s="312"/>
      <c r="E16" s="10"/>
      <c r="F16" s="312" t="s">
        <v>311</v>
      </c>
      <c r="G16" s="312"/>
      <c r="H16" s="312"/>
      <c r="I16" s="10"/>
      <c r="J16" s="369"/>
      <c r="K16" s="369"/>
      <c r="L16" s="369"/>
      <c r="M16" s="369"/>
      <c r="N16" s="369"/>
      <c r="O16" s="52" t="s">
        <v>1018</v>
      </c>
      <c r="P16" s="53">
        <f t="shared" si="1"/>
        <v>4</v>
      </c>
      <c r="Q16" s="54"/>
      <c r="R16" s="10"/>
      <c r="S16" s="13"/>
      <c r="T16" s="37" t="s">
        <v>75</v>
      </c>
      <c r="U16" s="38">
        <v>4</v>
      </c>
      <c r="V16" s="39">
        <v>2</v>
      </c>
      <c r="W16" s="40">
        <f t="shared" si="0"/>
        <v>6</v>
      </c>
      <c r="X16" s="38">
        <f>IF(C10="アンノウン",2,0)</f>
        <v>0</v>
      </c>
      <c r="Y16" s="39"/>
      <c r="Z16" s="38">
        <v>0</v>
      </c>
      <c r="AA16" s="41">
        <f>W16+AA30+SUM(X16:Z16)-Z70</f>
        <v>6</v>
      </c>
      <c r="AB16" s="13"/>
      <c r="AC16" s="13"/>
      <c r="AD16" s="13"/>
      <c r="AE16" s="13"/>
      <c r="AF16" s="13"/>
      <c r="AG16" s="13"/>
      <c r="AH16" s="13"/>
      <c r="AI16" s="13"/>
      <c r="AJ16" s="13"/>
      <c r="AK16" s="16"/>
      <c r="AL16" s="4"/>
      <c r="AM16" s="4"/>
      <c r="AN16" s="4"/>
      <c r="AO16" s="4"/>
      <c r="AP16" s="4"/>
      <c r="AQ16" s="4"/>
      <c r="AR16" s="4"/>
      <c r="AS16" s="4"/>
      <c r="AT16" s="4"/>
      <c r="AU16" s="4"/>
      <c r="AV16" s="4"/>
      <c r="AW16" s="4"/>
      <c r="AX16" s="15"/>
      <c r="AY16" s="15"/>
    </row>
    <row r="17" spans="1:51" ht="13.95" customHeight="1" x14ac:dyDescent="0.15">
      <c r="A17" s="10"/>
      <c r="B17" s="331" t="s">
        <v>76</v>
      </c>
      <c r="C17" s="331"/>
      <c r="D17" s="346">
        <f>ABS(AA49)</f>
        <v>14</v>
      </c>
      <c r="E17" s="10"/>
      <c r="F17" s="356" t="s">
        <v>284</v>
      </c>
      <c r="G17" s="356"/>
      <c r="H17" s="55">
        <f t="shared" ref="H17:H23" si="2">AA10</f>
        <v>5</v>
      </c>
      <c r="I17" s="10"/>
      <c r="J17" s="369"/>
      <c r="K17" s="369"/>
      <c r="L17" s="369"/>
      <c r="M17" s="369"/>
      <c r="N17" s="369"/>
      <c r="O17" s="52" t="s">
        <v>851</v>
      </c>
      <c r="P17" s="53">
        <f t="shared" si="1"/>
        <v>6</v>
      </c>
      <c r="Q17" s="54"/>
      <c r="R17" s="10"/>
      <c r="S17" s="13"/>
      <c r="T17" s="56" t="s">
        <v>77</v>
      </c>
      <c r="U17" s="57">
        <f t="shared" ref="U17:AA17" si="3">SUM(U10:U16)</f>
        <v>28</v>
      </c>
      <c r="V17" s="57">
        <f t="shared" si="3"/>
        <v>10</v>
      </c>
      <c r="W17" s="58">
        <f t="shared" si="3"/>
        <v>38</v>
      </c>
      <c r="X17" s="57">
        <f t="shared" si="3"/>
        <v>3</v>
      </c>
      <c r="Y17" s="57">
        <f t="shared" si="3"/>
        <v>0</v>
      </c>
      <c r="Z17" s="57">
        <f t="shared" si="3"/>
        <v>1</v>
      </c>
      <c r="AA17" s="59">
        <f t="shared" si="3"/>
        <v>47</v>
      </c>
      <c r="AB17" s="13"/>
      <c r="AC17" s="340" t="s">
        <v>262</v>
      </c>
      <c r="AD17" s="340"/>
      <c r="AE17" s="340"/>
      <c r="AF17" s="340"/>
      <c r="AG17" s="340"/>
      <c r="AH17" s="340"/>
      <c r="AI17" s="340"/>
      <c r="AJ17" s="340"/>
      <c r="AK17" s="16"/>
      <c r="AL17" s="4"/>
      <c r="AM17" s="4"/>
      <c r="AN17" s="4"/>
      <c r="AO17" s="4"/>
      <c r="AP17" s="4"/>
      <c r="AQ17" s="4"/>
      <c r="AR17" s="4"/>
      <c r="AS17" s="4"/>
      <c r="AT17" s="4"/>
      <c r="AU17" s="4"/>
      <c r="AV17" s="4"/>
      <c r="AW17" s="4"/>
      <c r="AX17" s="15"/>
      <c r="AY17" s="15"/>
    </row>
    <row r="18" spans="1:51" ht="13.95" customHeight="1" x14ac:dyDescent="0.15">
      <c r="A18" s="10"/>
      <c r="B18" s="331"/>
      <c r="C18" s="331"/>
      <c r="D18" s="346"/>
      <c r="E18" s="10"/>
      <c r="F18" s="356" t="s">
        <v>286</v>
      </c>
      <c r="G18" s="356"/>
      <c r="H18" s="55">
        <f t="shared" si="2"/>
        <v>4</v>
      </c>
      <c r="I18" s="10"/>
      <c r="J18" s="369"/>
      <c r="K18" s="369"/>
      <c r="L18" s="369"/>
      <c r="M18" s="369"/>
      <c r="N18" s="369"/>
      <c r="O18" s="52" t="s">
        <v>876</v>
      </c>
      <c r="P18" s="53">
        <f t="shared" si="1"/>
        <v>4</v>
      </c>
      <c r="Q18" s="54"/>
      <c r="R18" s="10"/>
      <c r="S18" s="13"/>
      <c r="T18" s="16"/>
      <c r="U18" s="16">
        <f>28-U17</f>
        <v>0</v>
      </c>
      <c r="V18" s="16">
        <f>10-V17</f>
        <v>0</v>
      </c>
      <c r="W18" s="16"/>
      <c r="X18" s="16">
        <f>3-X17</f>
        <v>0</v>
      </c>
      <c r="Y18" s="16">
        <f>3-Y17</f>
        <v>3</v>
      </c>
      <c r="Z18" s="16">
        <f>1-Z17</f>
        <v>0</v>
      </c>
      <c r="AA18" s="16"/>
      <c r="AB18" s="13"/>
      <c r="AC18" s="368" t="s">
        <v>78</v>
      </c>
      <c r="AD18" s="368"/>
      <c r="AE18" s="367" t="s">
        <v>79</v>
      </c>
      <c r="AF18" s="367"/>
      <c r="AG18" s="367"/>
      <c r="AH18" s="359" t="s">
        <v>80</v>
      </c>
      <c r="AI18" s="359"/>
      <c r="AJ18" s="359"/>
      <c r="AK18" s="16"/>
      <c r="AL18" s="4"/>
      <c r="AM18" s="4"/>
      <c r="AN18" s="4"/>
      <c r="AO18" s="4"/>
      <c r="AP18" s="4"/>
      <c r="AQ18" s="4"/>
      <c r="AR18" s="4"/>
      <c r="AS18" s="4"/>
      <c r="AT18" s="4"/>
      <c r="AU18" s="4"/>
      <c r="AV18" s="4"/>
      <c r="AW18" s="4"/>
      <c r="AX18" s="15"/>
      <c r="AY18" s="15"/>
    </row>
    <row r="19" spans="1:51" ht="13.95" customHeight="1" x14ac:dyDescent="0.15">
      <c r="A19" s="10"/>
      <c r="B19" s="331" t="s">
        <v>81</v>
      </c>
      <c r="C19" s="331"/>
      <c r="D19" s="346">
        <f>ABS(AA50)</f>
        <v>27</v>
      </c>
      <c r="E19" s="10"/>
      <c r="F19" s="356" t="s">
        <v>288</v>
      </c>
      <c r="G19" s="356"/>
      <c r="H19" s="55">
        <f t="shared" si="2"/>
        <v>6</v>
      </c>
      <c r="I19" s="10"/>
      <c r="J19" s="369"/>
      <c r="K19" s="369"/>
      <c r="L19" s="369"/>
      <c r="M19" s="369"/>
      <c r="N19" s="369"/>
      <c r="O19" s="52" t="s">
        <v>615</v>
      </c>
      <c r="P19" s="53">
        <f t="shared" si="1"/>
        <v>6</v>
      </c>
      <c r="Q19" s="54"/>
      <c r="R19" s="10"/>
      <c r="S19" s="13"/>
      <c r="T19" s="13"/>
      <c r="U19" s="357" t="s">
        <v>82</v>
      </c>
      <c r="V19" s="357"/>
      <c r="W19" s="357"/>
      <c r="X19" s="358" t="s">
        <v>83</v>
      </c>
      <c r="Y19" s="358"/>
      <c r="Z19" s="358"/>
      <c r="AA19" s="13"/>
      <c r="AB19" s="13"/>
      <c r="AC19" s="352" t="s">
        <v>84</v>
      </c>
      <c r="AD19" s="352"/>
      <c r="AE19" s="353" t="s">
        <v>79</v>
      </c>
      <c r="AF19" s="353"/>
      <c r="AG19" s="353"/>
      <c r="AH19" s="354" t="s">
        <v>85</v>
      </c>
      <c r="AI19" s="354"/>
      <c r="AJ19" s="354"/>
      <c r="AK19" s="14"/>
      <c r="AL19" s="4"/>
      <c r="AM19" s="4"/>
      <c r="AN19" s="4"/>
      <c r="AO19" s="4"/>
      <c r="AP19" s="4"/>
      <c r="AQ19" s="4"/>
      <c r="AR19" s="4"/>
      <c r="AS19" s="4"/>
      <c r="AT19" s="4"/>
      <c r="AU19" s="4"/>
      <c r="AV19" s="4"/>
      <c r="AW19" s="4"/>
      <c r="AX19" s="15"/>
      <c r="AY19" s="15"/>
    </row>
    <row r="20" spans="1:51" ht="13.95" customHeight="1" x14ac:dyDescent="0.15">
      <c r="A20" s="10"/>
      <c r="B20" s="331"/>
      <c r="C20" s="331"/>
      <c r="D20" s="346"/>
      <c r="E20" s="10"/>
      <c r="F20" s="356" t="s">
        <v>293</v>
      </c>
      <c r="G20" s="356"/>
      <c r="H20" s="55">
        <f t="shared" si="2"/>
        <v>12</v>
      </c>
      <c r="I20" s="10"/>
      <c r="J20" s="369"/>
      <c r="K20" s="369"/>
      <c r="L20" s="369"/>
      <c r="M20" s="369"/>
      <c r="N20" s="369"/>
      <c r="O20" s="52" t="s">
        <v>931</v>
      </c>
      <c r="P20" s="53">
        <f t="shared" si="1"/>
        <v>12</v>
      </c>
      <c r="Q20" s="54"/>
      <c r="R20" s="10"/>
      <c r="S20" s="13"/>
      <c r="T20" s="13"/>
      <c r="U20" s="357"/>
      <c r="V20" s="357"/>
      <c r="W20" s="357"/>
      <c r="X20" s="358"/>
      <c r="Y20" s="358"/>
      <c r="Z20" s="358"/>
      <c r="AA20" s="13"/>
      <c r="AB20" s="13"/>
      <c r="AC20" s="352" t="s">
        <v>86</v>
      </c>
      <c r="AD20" s="352"/>
      <c r="AE20" s="353" t="s">
        <v>79</v>
      </c>
      <c r="AF20" s="353"/>
      <c r="AG20" s="353"/>
      <c r="AH20" s="366" t="s">
        <v>79</v>
      </c>
      <c r="AI20" s="366"/>
      <c r="AJ20" s="366"/>
      <c r="AK20" s="14"/>
      <c r="AL20" s="4"/>
      <c r="AM20" s="4"/>
      <c r="AN20" s="4"/>
      <c r="AO20" s="4"/>
      <c r="AP20" s="4"/>
      <c r="AQ20" s="4"/>
      <c r="AR20" s="4"/>
      <c r="AS20" s="4"/>
      <c r="AT20" s="4"/>
      <c r="AU20" s="4"/>
      <c r="AV20" s="4"/>
      <c r="AW20" s="4"/>
      <c r="AX20" s="15"/>
      <c r="AY20" s="15"/>
    </row>
    <row r="21" spans="1:51" ht="13.95" customHeight="1" x14ac:dyDescent="0.15">
      <c r="A21" s="10"/>
      <c r="B21" s="331" t="s">
        <v>87</v>
      </c>
      <c r="C21" s="331"/>
      <c r="D21" s="372">
        <f>AA51</f>
        <v>23</v>
      </c>
      <c r="E21" s="10"/>
      <c r="F21" s="356" t="s">
        <v>302</v>
      </c>
      <c r="G21" s="356"/>
      <c r="H21" s="55">
        <f t="shared" si="2"/>
        <v>12</v>
      </c>
      <c r="I21" s="10"/>
      <c r="J21" s="369"/>
      <c r="K21" s="369"/>
      <c r="L21" s="369"/>
      <c r="M21" s="369"/>
      <c r="N21" s="369"/>
      <c r="O21" s="52" t="s">
        <v>970</v>
      </c>
      <c r="P21" s="53">
        <f t="shared" ref="P21:P26" si="4">ROUNDDOWN((AI4+AJ4)/2,0)</f>
        <v>7</v>
      </c>
      <c r="Q21" s="54"/>
      <c r="R21" s="10"/>
      <c r="S21" s="13"/>
      <c r="T21" s="13"/>
      <c r="U21" s="13"/>
      <c r="V21" s="13"/>
      <c r="W21" s="13"/>
      <c r="X21" s="13"/>
      <c r="Y21" s="13"/>
      <c r="Z21" s="13"/>
      <c r="AA21" s="13"/>
      <c r="AB21" s="13"/>
      <c r="AC21" s="352" t="s">
        <v>88</v>
      </c>
      <c r="AD21" s="352"/>
      <c r="AE21" s="353" t="s">
        <v>79</v>
      </c>
      <c r="AF21" s="353"/>
      <c r="AG21" s="353"/>
      <c r="AH21" s="354" t="s">
        <v>89</v>
      </c>
      <c r="AI21" s="354"/>
      <c r="AJ21" s="354"/>
      <c r="AK21" s="14"/>
      <c r="AL21" s="4"/>
      <c r="AM21" s="4"/>
      <c r="AN21" s="4"/>
      <c r="AO21" s="4"/>
      <c r="AP21" s="4"/>
      <c r="AQ21" s="4"/>
      <c r="AR21" s="4"/>
      <c r="AS21" s="4"/>
      <c r="AT21" s="4"/>
      <c r="AU21" s="4"/>
      <c r="AV21" s="4"/>
      <c r="AW21" s="4"/>
      <c r="AX21" s="15"/>
      <c r="AY21" s="15"/>
    </row>
    <row r="22" spans="1:51" ht="13.95" customHeight="1" x14ac:dyDescent="0.15">
      <c r="A22" s="10"/>
      <c r="B22" s="331"/>
      <c r="C22" s="331"/>
      <c r="D22" s="372"/>
      <c r="E22" s="10"/>
      <c r="F22" s="356" t="s">
        <v>309</v>
      </c>
      <c r="G22" s="356"/>
      <c r="H22" s="55">
        <f t="shared" si="2"/>
        <v>2</v>
      </c>
      <c r="I22" s="10"/>
      <c r="J22" s="369"/>
      <c r="K22" s="369"/>
      <c r="L22" s="369"/>
      <c r="M22" s="369"/>
      <c r="N22" s="369"/>
      <c r="O22" s="52" t="s">
        <v>733</v>
      </c>
      <c r="P22" s="53">
        <f t="shared" si="4"/>
        <v>2</v>
      </c>
      <c r="Q22" s="54"/>
      <c r="R22" s="10"/>
      <c r="S22" s="13"/>
      <c r="T22" s="355" t="s">
        <v>90</v>
      </c>
      <c r="U22" s="355"/>
      <c r="V22" s="355"/>
      <c r="W22" s="355"/>
      <c r="X22" s="355"/>
      <c r="Y22" s="355"/>
      <c r="Z22" s="61" t="s">
        <v>91</v>
      </c>
      <c r="AA22" s="62">
        <f>5+IF(C10="ノーマル",1,0)</f>
        <v>5</v>
      </c>
      <c r="AB22" s="13"/>
      <c r="AC22" s="352" t="s">
        <v>92</v>
      </c>
      <c r="AD22" s="352"/>
      <c r="AE22" s="365" t="s">
        <v>93</v>
      </c>
      <c r="AF22" s="365"/>
      <c r="AG22" s="365"/>
      <c r="AH22" s="354" t="s">
        <v>94</v>
      </c>
      <c r="AI22" s="354"/>
      <c r="AJ22" s="354"/>
      <c r="AK22" s="14"/>
      <c r="AL22" s="4"/>
      <c r="AM22" s="4"/>
      <c r="AN22" s="4"/>
      <c r="AO22" s="4"/>
      <c r="AP22" s="4"/>
      <c r="AQ22" s="4"/>
      <c r="AR22" s="4"/>
      <c r="AS22" s="4"/>
      <c r="AT22" s="4"/>
      <c r="AU22" s="4"/>
      <c r="AV22" s="4"/>
      <c r="AW22" s="4"/>
      <c r="AX22" s="15"/>
      <c r="AY22" s="15"/>
    </row>
    <row r="23" spans="1:51" ht="13.95" customHeight="1" x14ac:dyDescent="0.15">
      <c r="A23" s="10"/>
      <c r="B23" s="331" t="s">
        <v>95</v>
      </c>
      <c r="C23" s="331"/>
      <c r="D23" s="346">
        <f>AA52</f>
        <v>2</v>
      </c>
      <c r="E23" s="10"/>
      <c r="F23" s="348" t="s">
        <v>75</v>
      </c>
      <c r="G23" s="348"/>
      <c r="H23" s="63">
        <f t="shared" si="2"/>
        <v>6</v>
      </c>
      <c r="I23" s="10"/>
      <c r="J23" s="369"/>
      <c r="K23" s="369"/>
      <c r="L23" s="369"/>
      <c r="M23" s="369"/>
      <c r="N23" s="369"/>
      <c r="O23" s="52" t="s">
        <v>468</v>
      </c>
      <c r="P23" s="53">
        <f t="shared" si="4"/>
        <v>9</v>
      </c>
      <c r="Q23" s="54"/>
      <c r="R23" s="10"/>
      <c r="S23" s="13"/>
      <c r="T23" s="64" t="s">
        <v>96</v>
      </c>
      <c r="U23" s="65" t="s">
        <v>29</v>
      </c>
      <c r="V23" s="65" t="s">
        <v>53</v>
      </c>
      <c r="W23" s="65" t="s">
        <v>30</v>
      </c>
      <c r="X23" s="65" t="s">
        <v>31</v>
      </c>
      <c r="Y23" s="65" t="s">
        <v>28</v>
      </c>
      <c r="Z23" s="65" t="s">
        <v>292</v>
      </c>
      <c r="AA23" s="66" t="s">
        <v>97</v>
      </c>
      <c r="AB23" s="13"/>
      <c r="AC23" s="349" t="s">
        <v>98</v>
      </c>
      <c r="AD23" s="349"/>
      <c r="AE23" s="350" t="s">
        <v>93</v>
      </c>
      <c r="AF23" s="350"/>
      <c r="AG23" s="350"/>
      <c r="AH23" s="351" t="s">
        <v>99</v>
      </c>
      <c r="AI23" s="351"/>
      <c r="AJ23" s="351"/>
      <c r="AK23" s="14"/>
      <c r="AL23" s="4"/>
      <c r="AM23" s="4"/>
      <c r="AN23" s="4"/>
      <c r="AO23" s="4"/>
      <c r="AP23" s="4"/>
      <c r="AQ23" s="4"/>
      <c r="AR23" s="4"/>
      <c r="AS23" s="4"/>
      <c r="AT23" s="4"/>
      <c r="AU23" s="4"/>
      <c r="AV23" s="4"/>
      <c r="AW23" s="4"/>
      <c r="AX23" s="15"/>
      <c r="AY23" s="15"/>
    </row>
    <row r="24" spans="1:51" ht="13.95" customHeight="1" x14ac:dyDescent="0.15">
      <c r="A24" s="10"/>
      <c r="B24" s="331"/>
      <c r="C24" s="331"/>
      <c r="D24" s="346"/>
      <c r="E24" s="10"/>
      <c r="F24" s="10"/>
      <c r="G24" s="10"/>
      <c r="H24" s="10"/>
      <c r="I24" s="10"/>
      <c r="J24" s="369"/>
      <c r="K24" s="369"/>
      <c r="L24" s="369"/>
      <c r="M24" s="369"/>
      <c r="N24" s="369"/>
      <c r="O24" s="52" t="s">
        <v>792</v>
      </c>
      <c r="P24" s="53">
        <f t="shared" si="4"/>
        <v>9</v>
      </c>
      <c r="Q24" s="54"/>
      <c r="R24" s="10"/>
      <c r="S24" s="13"/>
      <c r="T24" s="67" t="str">
        <f t="shared" ref="T24:T30" si="5">T10</f>
        <v>筋力</v>
      </c>
      <c r="U24" s="39"/>
      <c r="V24" s="68"/>
      <c r="W24" s="68"/>
      <c r="X24" s="68"/>
      <c r="Y24" s="68"/>
      <c r="Z24" s="68"/>
      <c r="AA24" s="26">
        <f t="shared" ref="AA24:AA31" si="6">SUM(U24:Z24)</f>
        <v>0</v>
      </c>
      <c r="AB24" s="13"/>
      <c r="AC24" s="13"/>
      <c r="AD24" s="13"/>
      <c r="AE24" s="13"/>
      <c r="AF24" s="13"/>
      <c r="AG24" s="13"/>
      <c r="AH24" s="13"/>
      <c r="AI24" s="13"/>
      <c r="AJ24" s="13"/>
      <c r="AK24" s="14"/>
      <c r="AL24" s="4"/>
      <c r="AM24" s="4"/>
      <c r="AN24" s="4"/>
      <c r="AO24" s="4"/>
      <c r="AP24" s="4"/>
      <c r="AQ24" s="4"/>
      <c r="AR24" s="4"/>
      <c r="AS24" s="4"/>
      <c r="AT24" s="4"/>
      <c r="AU24" s="4"/>
      <c r="AV24" s="4"/>
      <c r="AW24" s="4"/>
      <c r="AX24" s="15"/>
      <c r="AY24" s="15"/>
    </row>
    <row r="25" spans="1:51" ht="13.95" customHeight="1" x14ac:dyDescent="0.15">
      <c r="A25" s="10"/>
      <c r="B25" s="331" t="s">
        <v>100</v>
      </c>
      <c r="C25" s="331"/>
      <c r="D25" s="346">
        <f>AA53</f>
        <v>6</v>
      </c>
      <c r="E25" s="10"/>
      <c r="F25" s="347" t="s">
        <v>101</v>
      </c>
      <c r="G25" s="347"/>
      <c r="H25" s="344">
        <f>AA58</f>
        <v>12</v>
      </c>
      <c r="I25" s="10"/>
      <c r="J25" s="369"/>
      <c r="K25" s="369"/>
      <c r="L25" s="369"/>
      <c r="M25" s="369"/>
      <c r="N25" s="369"/>
      <c r="O25" s="52" t="s">
        <v>819</v>
      </c>
      <c r="P25" s="53">
        <f t="shared" si="4"/>
        <v>6</v>
      </c>
      <c r="Q25" s="54"/>
      <c r="R25" s="10"/>
      <c r="S25" s="13"/>
      <c r="T25" s="67" t="str">
        <f t="shared" si="5"/>
        <v>耐久</v>
      </c>
      <c r="U25" s="39"/>
      <c r="V25" s="68"/>
      <c r="W25" s="68"/>
      <c r="X25" s="68"/>
      <c r="Y25" s="68"/>
      <c r="Z25" s="68"/>
      <c r="AA25" s="26">
        <f t="shared" si="6"/>
        <v>0</v>
      </c>
      <c r="AB25" s="13"/>
      <c r="AC25" s="13"/>
      <c r="AD25" s="13"/>
      <c r="AE25" s="13"/>
      <c r="AF25" s="13"/>
      <c r="AG25" s="13"/>
      <c r="AH25" s="13"/>
      <c r="AI25" s="13"/>
      <c r="AJ25" s="13"/>
      <c r="AK25" s="14"/>
      <c r="AL25" s="4"/>
      <c r="AM25" s="4"/>
      <c r="AN25" s="4"/>
      <c r="AO25" s="4"/>
      <c r="AP25" s="4"/>
      <c r="AQ25" s="4"/>
      <c r="AR25" s="4"/>
      <c r="AS25" s="4"/>
      <c r="AT25" s="4"/>
      <c r="AU25" s="4"/>
      <c r="AV25" s="4"/>
      <c r="AW25" s="4"/>
      <c r="AX25" s="15"/>
      <c r="AY25" s="15"/>
    </row>
    <row r="26" spans="1:51" ht="13.95" customHeight="1" x14ac:dyDescent="0.15">
      <c r="A26" s="10"/>
      <c r="B26" s="331"/>
      <c r="C26" s="331"/>
      <c r="D26" s="346"/>
      <c r="E26" s="10"/>
      <c r="F26" s="347"/>
      <c r="G26" s="347"/>
      <c r="H26" s="344"/>
      <c r="I26" s="10"/>
      <c r="J26" s="369"/>
      <c r="K26" s="369"/>
      <c r="L26" s="369"/>
      <c r="M26" s="369"/>
      <c r="N26" s="369"/>
      <c r="O26" s="69" t="s">
        <v>695</v>
      </c>
      <c r="P26" s="70">
        <f t="shared" si="4"/>
        <v>6</v>
      </c>
      <c r="Q26" s="71"/>
      <c r="R26" s="10"/>
      <c r="S26" s="13"/>
      <c r="T26" s="67" t="str">
        <f t="shared" si="5"/>
        <v>知力</v>
      </c>
      <c r="U26" s="39"/>
      <c r="V26" s="68"/>
      <c r="W26" s="68" t="s">
        <v>994</v>
      </c>
      <c r="X26" s="68"/>
      <c r="Y26" s="68"/>
      <c r="Z26" s="68"/>
      <c r="AA26" s="26">
        <f t="shared" si="6"/>
        <v>0</v>
      </c>
      <c r="AB26" s="13"/>
      <c r="AC26" s="13"/>
      <c r="AD26" s="13"/>
      <c r="AE26" s="13"/>
      <c r="AF26" s="13"/>
      <c r="AG26" s="13"/>
      <c r="AH26" s="13"/>
      <c r="AI26" s="13"/>
      <c r="AJ26" s="13"/>
      <c r="AK26" s="14"/>
      <c r="AL26" s="4"/>
      <c r="AM26" s="4"/>
      <c r="AN26" s="4"/>
      <c r="AO26" s="4"/>
      <c r="AP26" s="4"/>
      <c r="AQ26" s="4"/>
      <c r="AR26" s="4"/>
      <c r="AS26" s="4"/>
      <c r="AT26" s="4"/>
      <c r="AU26" s="4"/>
      <c r="AV26" s="4"/>
      <c r="AW26" s="4"/>
      <c r="AX26" s="15"/>
      <c r="AY26" s="15"/>
    </row>
    <row r="27" spans="1:51" ht="13.95" customHeight="1" x14ac:dyDescent="0.15">
      <c r="A27" s="10"/>
      <c r="B27" s="321" t="s">
        <v>102</v>
      </c>
      <c r="C27" s="321"/>
      <c r="D27" s="345">
        <f>AA54</f>
        <v>3</v>
      </c>
      <c r="E27" s="10"/>
      <c r="F27" s="321" t="s">
        <v>103</v>
      </c>
      <c r="G27" s="321"/>
      <c r="H27" s="345">
        <f>AA59</f>
        <v>3</v>
      </c>
      <c r="I27" s="10"/>
      <c r="J27" s="369"/>
      <c r="K27" s="369"/>
      <c r="L27" s="369"/>
      <c r="M27" s="369"/>
      <c r="N27" s="369"/>
      <c r="O27" s="311" t="s">
        <v>96</v>
      </c>
      <c r="P27" s="311"/>
      <c r="Q27" s="311"/>
      <c r="R27" s="10"/>
      <c r="S27" s="13"/>
      <c r="T27" s="67" t="str">
        <f t="shared" si="5"/>
        <v>精神</v>
      </c>
      <c r="U27" s="39">
        <v>1</v>
      </c>
      <c r="V27" s="68">
        <v>1</v>
      </c>
      <c r="W27" s="68">
        <v>1</v>
      </c>
      <c r="X27" s="68">
        <v>1</v>
      </c>
      <c r="Y27" s="68"/>
      <c r="Z27" s="68"/>
      <c r="AA27" s="26">
        <f t="shared" si="6"/>
        <v>4</v>
      </c>
      <c r="AB27" s="13"/>
      <c r="AC27" s="339" t="s">
        <v>104</v>
      </c>
      <c r="AD27" s="339"/>
      <c r="AE27" s="339"/>
      <c r="AF27" s="339"/>
      <c r="AG27" s="339"/>
      <c r="AH27" s="339"/>
      <c r="AI27" s="339"/>
      <c r="AJ27" s="339"/>
      <c r="AK27" s="14"/>
      <c r="AL27" s="4"/>
      <c r="AM27" s="4"/>
      <c r="AN27" s="4"/>
      <c r="AO27" s="4"/>
      <c r="AP27" s="4"/>
      <c r="AQ27" s="4"/>
      <c r="AR27" s="4"/>
      <c r="AS27" s="4"/>
      <c r="AT27" s="4"/>
      <c r="AU27" s="4"/>
      <c r="AV27" s="4"/>
      <c r="AW27" s="4"/>
      <c r="AX27" s="15"/>
      <c r="AY27" s="15"/>
    </row>
    <row r="28" spans="1:51" ht="13.95" customHeight="1" x14ac:dyDescent="0.15">
      <c r="A28" s="10"/>
      <c r="B28" s="321"/>
      <c r="C28" s="321"/>
      <c r="D28" s="345"/>
      <c r="E28" s="10"/>
      <c r="F28" s="321"/>
      <c r="G28" s="321"/>
      <c r="H28" s="345"/>
      <c r="I28" s="10"/>
      <c r="J28" s="369"/>
      <c r="K28" s="369"/>
      <c r="L28" s="369"/>
      <c r="M28" s="369"/>
      <c r="N28" s="369"/>
      <c r="O28" s="338" t="str">
        <f>U23</f>
        <v>イケメン</v>
      </c>
      <c r="P28" s="338"/>
      <c r="Q28" s="338"/>
      <c r="R28" s="10"/>
      <c r="S28" s="13"/>
      <c r="T28" s="67" t="str">
        <f t="shared" si="5"/>
        <v>器用</v>
      </c>
      <c r="U28" s="39"/>
      <c r="V28" s="68"/>
      <c r="W28" s="68"/>
      <c r="X28" s="68"/>
      <c r="Y28" s="68">
        <v>1</v>
      </c>
      <c r="Z28" s="68"/>
      <c r="AA28" s="26">
        <f t="shared" si="6"/>
        <v>1</v>
      </c>
      <c r="AB28" s="13"/>
      <c r="AC28" s="13"/>
      <c r="AD28" s="13"/>
      <c r="AE28" s="13"/>
      <c r="AF28" s="13"/>
      <c r="AG28" s="13"/>
      <c r="AH28" s="13"/>
      <c r="AI28" s="13"/>
      <c r="AJ28" s="13"/>
      <c r="AK28" s="14"/>
      <c r="AL28" s="4"/>
      <c r="AM28" s="4"/>
      <c r="AN28" s="4"/>
      <c r="AO28" s="4"/>
      <c r="AP28" s="4"/>
      <c r="AQ28" s="4"/>
      <c r="AR28" s="4"/>
      <c r="AS28" s="4"/>
      <c r="AT28" s="4"/>
      <c r="AU28" s="4"/>
      <c r="AV28" s="4"/>
      <c r="AW28" s="4"/>
      <c r="AX28" s="15"/>
      <c r="AY28" s="15"/>
    </row>
    <row r="29" spans="1:51" ht="13.95" customHeight="1" x14ac:dyDescent="0.15">
      <c r="A29" s="10"/>
      <c r="B29" s="10"/>
      <c r="C29" s="10"/>
      <c r="D29" s="10"/>
      <c r="E29" s="10"/>
      <c r="F29" s="10"/>
      <c r="G29" s="10"/>
      <c r="H29" s="10"/>
      <c r="I29" s="10"/>
      <c r="J29" s="369"/>
      <c r="K29" s="369"/>
      <c r="L29" s="369"/>
      <c r="M29" s="369"/>
      <c r="N29" s="369"/>
      <c r="O29" s="338" t="str">
        <f>V23</f>
        <v>銀河美少年</v>
      </c>
      <c r="P29" s="338"/>
      <c r="Q29" s="338"/>
      <c r="R29" s="10"/>
      <c r="S29" s="13"/>
      <c r="T29" s="67" t="str">
        <f t="shared" si="5"/>
        <v>敏捷</v>
      </c>
      <c r="U29" s="39"/>
      <c r="V29" s="68"/>
      <c r="W29" s="68"/>
      <c r="X29" s="68"/>
      <c r="Y29" s="68"/>
      <c r="Z29" s="68"/>
      <c r="AA29" s="26">
        <f t="shared" si="6"/>
        <v>0</v>
      </c>
      <c r="AB29" s="13"/>
      <c r="AC29" s="340" t="s">
        <v>105</v>
      </c>
      <c r="AD29" s="340"/>
      <c r="AE29" s="341" t="s">
        <v>106</v>
      </c>
      <c r="AF29" s="341"/>
      <c r="AG29" s="341"/>
      <c r="AH29" s="341"/>
      <c r="AI29" s="341"/>
      <c r="AJ29" s="341"/>
      <c r="AK29" s="14"/>
      <c r="AL29" s="4"/>
      <c r="AM29" s="4"/>
      <c r="AN29" s="4"/>
      <c r="AO29" s="4"/>
      <c r="AP29" s="4"/>
      <c r="AQ29" s="4"/>
      <c r="AR29" s="4"/>
      <c r="AS29" s="4"/>
      <c r="AT29" s="4"/>
      <c r="AU29" s="4"/>
      <c r="AV29" s="4"/>
      <c r="AW29" s="4"/>
      <c r="AX29" s="15"/>
      <c r="AY29" s="15"/>
    </row>
    <row r="30" spans="1:51" ht="13.95" customHeight="1" x14ac:dyDescent="0.15">
      <c r="A30" s="10"/>
      <c r="B30" s="312" t="s">
        <v>107</v>
      </c>
      <c r="C30" s="312"/>
      <c r="D30" s="312"/>
      <c r="E30" s="10"/>
      <c r="F30" s="312" t="s">
        <v>108</v>
      </c>
      <c r="G30" s="312"/>
      <c r="H30" s="312"/>
      <c r="I30" s="10"/>
      <c r="J30" s="369"/>
      <c r="K30" s="369"/>
      <c r="L30" s="369"/>
      <c r="M30" s="369"/>
      <c r="N30" s="369"/>
      <c r="O30" s="338" t="str">
        <f>W23</f>
        <v>ともに青春を謳歌しようぜ！</v>
      </c>
      <c r="P30" s="338"/>
      <c r="Q30" s="338"/>
      <c r="R30" s="10"/>
      <c r="S30" s="13"/>
      <c r="T30" s="67" t="str">
        <f t="shared" si="5"/>
        <v>運</v>
      </c>
      <c r="U30" s="39"/>
      <c r="V30" s="68"/>
      <c r="W30" s="68"/>
      <c r="X30" s="68"/>
      <c r="Y30" s="68"/>
      <c r="Z30" s="68"/>
      <c r="AA30" s="26">
        <f t="shared" si="6"/>
        <v>0</v>
      </c>
      <c r="AB30" s="13"/>
      <c r="AC30" s="342" t="s">
        <v>744</v>
      </c>
      <c r="AD30" s="342"/>
      <c r="AE30" s="343" t="s">
        <v>109</v>
      </c>
      <c r="AF30" s="343"/>
      <c r="AG30" s="343"/>
      <c r="AH30" s="343"/>
      <c r="AI30" s="343"/>
      <c r="AJ30" s="343"/>
      <c r="AK30" s="14"/>
      <c r="AL30" s="4"/>
      <c r="AM30" s="4"/>
      <c r="AN30" s="4"/>
      <c r="AO30" s="4"/>
      <c r="AP30" s="4"/>
      <c r="AQ30" s="4"/>
      <c r="AR30" s="4"/>
      <c r="AS30" s="4"/>
      <c r="AT30" s="4"/>
      <c r="AU30" s="4"/>
      <c r="AV30" s="4"/>
      <c r="AW30" s="4"/>
      <c r="AX30" s="15"/>
      <c r="AY30" s="15"/>
    </row>
    <row r="31" spans="1:51" ht="13.95" customHeight="1" x14ac:dyDescent="0.15">
      <c r="A31" s="10"/>
      <c r="B31" s="331" t="s">
        <v>110</v>
      </c>
      <c r="C31" s="332">
        <f>AA55</f>
        <v>12</v>
      </c>
      <c r="D31" s="333">
        <f>IF(AA16&lt;14,1,2)</f>
        <v>1</v>
      </c>
      <c r="E31" s="10"/>
      <c r="F31" s="331" t="s">
        <v>111</v>
      </c>
      <c r="G31" s="334">
        <f>V38</f>
        <v>1</v>
      </c>
      <c r="H31" s="335">
        <f>W38</f>
        <v>0</v>
      </c>
      <c r="I31" s="10"/>
      <c r="J31" s="369"/>
      <c r="K31" s="369"/>
      <c r="L31" s="369"/>
      <c r="M31" s="369"/>
      <c r="N31" s="369"/>
      <c r="O31" s="338" t="str">
        <f>X23</f>
        <v>※ただしイケメンに限る</v>
      </c>
      <c r="P31" s="338"/>
      <c r="Q31" s="338"/>
      <c r="R31" s="10"/>
      <c r="S31" s="13"/>
      <c r="T31" s="72" t="s">
        <v>112</v>
      </c>
      <c r="U31" s="73">
        <f t="shared" ref="U31:Z31" si="7">SUM(U24:U30)</f>
        <v>1</v>
      </c>
      <c r="V31" s="73">
        <f t="shared" si="7"/>
        <v>1</v>
      </c>
      <c r="W31" s="73">
        <f t="shared" si="7"/>
        <v>1</v>
      </c>
      <c r="X31" s="73">
        <f t="shared" si="7"/>
        <v>1</v>
      </c>
      <c r="Y31" s="73">
        <f t="shared" si="7"/>
        <v>1</v>
      </c>
      <c r="Z31" s="73">
        <f t="shared" si="7"/>
        <v>0</v>
      </c>
      <c r="AA31" s="36">
        <f t="shared" si="6"/>
        <v>5</v>
      </c>
      <c r="AB31" s="13"/>
      <c r="AC31" s="309" t="s">
        <v>851</v>
      </c>
      <c r="AD31" s="309"/>
      <c r="AE31" s="310" t="s">
        <v>348</v>
      </c>
      <c r="AF31" s="310"/>
      <c r="AG31" s="310"/>
      <c r="AH31" s="310"/>
      <c r="AI31" s="310"/>
      <c r="AJ31" s="310"/>
      <c r="AK31" s="14"/>
      <c r="AL31" s="4"/>
      <c r="AM31" s="4"/>
      <c r="AN31" s="4"/>
      <c r="AO31" s="4"/>
      <c r="AP31" s="4"/>
      <c r="AQ31" s="4"/>
      <c r="AR31" s="4"/>
      <c r="AS31" s="4"/>
      <c r="AT31" s="4"/>
      <c r="AU31" s="4"/>
      <c r="AV31" s="4"/>
      <c r="AW31" s="4"/>
      <c r="AX31" s="15"/>
      <c r="AY31" s="15"/>
    </row>
    <row r="32" spans="1:51" ht="13.95" customHeight="1" x14ac:dyDescent="0.15">
      <c r="A32" s="10"/>
      <c r="B32" s="331"/>
      <c r="C32" s="332"/>
      <c r="D32" s="333"/>
      <c r="E32" s="10"/>
      <c r="F32" s="331"/>
      <c r="G32" s="334"/>
      <c r="H32" s="335"/>
      <c r="I32" s="10"/>
      <c r="J32" s="369"/>
      <c r="K32" s="369"/>
      <c r="L32" s="369"/>
      <c r="M32" s="369"/>
      <c r="N32" s="369"/>
      <c r="O32" s="338" t="str">
        <f>Y23</f>
        <v>選ばれなかった者</v>
      </c>
      <c r="P32" s="338"/>
      <c r="Q32" s="338"/>
      <c r="R32" s="10"/>
      <c r="S32" s="74"/>
      <c r="T32" s="16"/>
      <c r="U32" s="75"/>
      <c r="V32" s="13"/>
      <c r="W32" s="13"/>
      <c r="X32" s="76"/>
      <c r="Y32" s="76"/>
      <c r="Z32" s="76"/>
      <c r="AA32" s="77">
        <f>AA22-AA31</f>
        <v>0</v>
      </c>
      <c r="AB32" s="13"/>
      <c r="AC32" s="309" t="s">
        <v>819</v>
      </c>
      <c r="AD32" s="309"/>
      <c r="AE32" s="310" t="s">
        <v>349</v>
      </c>
      <c r="AF32" s="310"/>
      <c r="AG32" s="310"/>
      <c r="AH32" s="310"/>
      <c r="AI32" s="310"/>
      <c r="AJ32" s="310"/>
      <c r="AK32" s="14"/>
      <c r="AL32" s="4"/>
      <c r="AM32" s="4"/>
      <c r="AN32" s="4"/>
      <c r="AO32" s="4"/>
      <c r="AP32" s="4"/>
      <c r="AQ32" s="4"/>
      <c r="AR32" s="4"/>
      <c r="AS32" s="4"/>
      <c r="AT32" s="4"/>
      <c r="AU32" s="4"/>
      <c r="AV32" s="4"/>
      <c r="AW32" s="4"/>
      <c r="AX32" s="15"/>
      <c r="AY32" s="15"/>
    </row>
    <row r="33" spans="1:255" ht="13.95" customHeight="1" x14ac:dyDescent="0.15">
      <c r="A33" s="10"/>
      <c r="B33" s="331" t="s">
        <v>350</v>
      </c>
      <c r="C33" s="332">
        <f>AA56</f>
        <v>14</v>
      </c>
      <c r="D33" s="333">
        <f>IF(AA16&lt;14,1,2)</f>
        <v>1</v>
      </c>
      <c r="E33" s="10"/>
      <c r="F33" s="331" t="s">
        <v>351</v>
      </c>
      <c r="G33" s="334">
        <f>V39</f>
        <v>1</v>
      </c>
      <c r="H33" s="335">
        <f>W39</f>
        <v>1</v>
      </c>
      <c r="I33" s="10"/>
      <c r="J33" s="369"/>
      <c r="K33" s="369"/>
      <c r="L33" s="369"/>
      <c r="M33" s="369"/>
      <c r="N33" s="369"/>
      <c r="O33" s="336" t="str">
        <f>Z23</f>
        <v>-</v>
      </c>
      <c r="P33" s="336"/>
      <c r="Q33" s="336"/>
      <c r="R33" s="10"/>
      <c r="S33" s="74"/>
      <c r="T33" s="337" t="s">
        <v>352</v>
      </c>
      <c r="U33" s="337"/>
      <c r="V33" s="337"/>
      <c r="W33" s="337"/>
      <c r="X33" s="337"/>
      <c r="Y33" s="337"/>
      <c r="Z33" s="337"/>
      <c r="AA33" s="337"/>
      <c r="AB33" s="13"/>
      <c r="AC33" s="309" t="s">
        <v>876</v>
      </c>
      <c r="AD33" s="309"/>
      <c r="AE33" s="318" t="s">
        <v>353</v>
      </c>
      <c r="AF33" s="318"/>
      <c r="AG33" s="318"/>
      <c r="AH33" s="318"/>
      <c r="AI33" s="318"/>
      <c r="AJ33" s="318"/>
      <c r="AK33" s="14"/>
      <c r="AL33" s="4"/>
      <c r="AM33" s="4"/>
      <c r="AN33" s="4"/>
      <c r="AO33" s="4"/>
      <c r="AP33" s="4"/>
      <c r="AQ33" s="4"/>
      <c r="AR33" s="4"/>
      <c r="AS33" s="4"/>
      <c r="AT33" s="4"/>
      <c r="AU33" s="4"/>
      <c r="AV33" s="4"/>
      <c r="AW33" s="4"/>
      <c r="AX33" s="15"/>
      <c r="AY33" s="15"/>
    </row>
    <row r="34" spans="1:255" ht="13.95" customHeight="1" x14ac:dyDescent="0.15">
      <c r="A34" s="10"/>
      <c r="B34" s="331"/>
      <c r="C34" s="332"/>
      <c r="D34" s="333"/>
      <c r="E34" s="10"/>
      <c r="F34" s="331"/>
      <c r="G34" s="334"/>
      <c r="H34" s="335"/>
      <c r="I34" s="10"/>
      <c r="J34" s="319" t="s">
        <v>354</v>
      </c>
      <c r="K34" s="319"/>
      <c r="L34" s="319"/>
      <c r="M34" s="319"/>
      <c r="N34" s="319"/>
      <c r="O34" s="320" t="s">
        <v>355</v>
      </c>
      <c r="P34" s="320"/>
      <c r="Q34" s="320"/>
      <c r="R34" s="10"/>
      <c r="S34" s="74"/>
      <c r="T34" s="337"/>
      <c r="U34" s="337"/>
      <c r="V34" s="337"/>
      <c r="W34" s="337"/>
      <c r="X34" s="337"/>
      <c r="Y34" s="337"/>
      <c r="Z34" s="337"/>
      <c r="AA34" s="337"/>
      <c r="AB34" s="13"/>
      <c r="AC34" s="309" t="s">
        <v>615</v>
      </c>
      <c r="AD34" s="309"/>
      <c r="AE34" s="310" t="s">
        <v>356</v>
      </c>
      <c r="AF34" s="310"/>
      <c r="AG34" s="310"/>
      <c r="AH34" s="310"/>
      <c r="AI34" s="310"/>
      <c r="AJ34" s="310"/>
      <c r="AK34" s="14"/>
      <c r="AL34" s="4"/>
      <c r="AM34" s="4"/>
      <c r="AN34" s="4"/>
      <c r="AO34" s="4"/>
      <c r="AP34" s="4"/>
      <c r="AQ34" s="4"/>
      <c r="AR34" s="4"/>
      <c r="AS34" s="4"/>
      <c r="AT34" s="4"/>
      <c r="AU34" s="4"/>
      <c r="AV34" s="4"/>
      <c r="AW34" s="4"/>
      <c r="AX34" s="15"/>
      <c r="AY34" s="15"/>
    </row>
    <row r="35" spans="1:255" ht="13.95" customHeight="1" x14ac:dyDescent="0.15">
      <c r="A35" s="10"/>
      <c r="B35" s="321" t="s">
        <v>357</v>
      </c>
      <c r="C35" s="322">
        <f>AA57</f>
        <v>5</v>
      </c>
      <c r="D35" s="323">
        <f>IF(AA16&lt;14,1,2)</f>
        <v>1</v>
      </c>
      <c r="E35" s="10"/>
      <c r="F35" s="321" t="s">
        <v>358</v>
      </c>
      <c r="G35" s="324">
        <f>V40</f>
        <v>5</v>
      </c>
      <c r="H35" s="325">
        <f>W40</f>
        <v>0</v>
      </c>
      <c r="I35" s="10"/>
      <c r="J35" s="326" t="s">
        <v>124</v>
      </c>
      <c r="K35" s="326"/>
      <c r="L35" s="326"/>
      <c r="M35" s="326"/>
      <c r="N35" s="326"/>
      <c r="O35" s="327" t="s">
        <v>359</v>
      </c>
      <c r="P35" s="327"/>
      <c r="Q35" s="79">
        <f>ROUNDDOWN((AA11/3),0)</f>
        <v>1</v>
      </c>
      <c r="R35" s="10"/>
      <c r="S35" s="74"/>
      <c r="T35" s="328" t="s">
        <v>360</v>
      </c>
      <c r="U35" s="328"/>
      <c r="V35" s="328"/>
      <c r="W35" s="328"/>
      <c r="X35" s="329" t="s">
        <v>361</v>
      </c>
      <c r="Y35" s="329"/>
      <c r="Z35" s="329"/>
      <c r="AA35" s="329"/>
      <c r="AB35" s="13"/>
      <c r="AC35" s="309" t="s">
        <v>931</v>
      </c>
      <c r="AD35" s="309"/>
      <c r="AE35" s="310" t="s">
        <v>362</v>
      </c>
      <c r="AF35" s="310"/>
      <c r="AG35" s="310"/>
      <c r="AH35" s="310"/>
      <c r="AI35" s="310"/>
      <c r="AJ35" s="310"/>
      <c r="AK35" s="14"/>
      <c r="AL35" s="4"/>
      <c r="AM35" s="4"/>
      <c r="AN35" s="4"/>
      <c r="AO35" s="4"/>
      <c r="AP35" s="4"/>
      <c r="AQ35" s="4"/>
      <c r="AR35" s="4"/>
      <c r="AS35" s="4"/>
      <c r="AT35" s="4"/>
      <c r="AU35" s="4"/>
      <c r="AV35" s="4"/>
      <c r="AW35" s="4"/>
      <c r="AX35" s="15"/>
      <c r="AY35" s="15"/>
    </row>
    <row r="36" spans="1:255" ht="13.95" customHeight="1" x14ac:dyDescent="0.15">
      <c r="A36" s="10"/>
      <c r="B36" s="321"/>
      <c r="C36" s="322"/>
      <c r="D36" s="323"/>
      <c r="E36" s="10"/>
      <c r="F36" s="321"/>
      <c r="G36" s="324"/>
      <c r="H36" s="325"/>
      <c r="I36" s="10"/>
      <c r="J36" s="326"/>
      <c r="K36" s="326"/>
      <c r="L36" s="326"/>
      <c r="M36" s="326"/>
      <c r="N36" s="326"/>
      <c r="O36" s="330" t="s">
        <v>363</v>
      </c>
      <c r="P36" s="330"/>
      <c r="Q36" s="81">
        <f>ROUNDDOWN((AA13/3),0)</f>
        <v>4</v>
      </c>
      <c r="R36" s="10"/>
      <c r="S36" s="74"/>
      <c r="T36" s="328"/>
      <c r="U36" s="328"/>
      <c r="V36" s="328"/>
      <c r="W36" s="328"/>
      <c r="X36" s="82" t="s">
        <v>364</v>
      </c>
      <c r="Y36" s="83" t="s">
        <v>365</v>
      </c>
      <c r="Z36" s="84" t="s">
        <v>366</v>
      </c>
      <c r="AA36" s="85"/>
      <c r="AB36" s="13"/>
      <c r="AC36" s="309" t="s">
        <v>970</v>
      </c>
      <c r="AD36" s="309"/>
      <c r="AE36" s="310" t="s">
        <v>367</v>
      </c>
      <c r="AF36" s="310"/>
      <c r="AG36" s="310"/>
      <c r="AH36" s="310"/>
      <c r="AI36" s="310"/>
      <c r="AJ36" s="310"/>
      <c r="AK36" s="14"/>
      <c r="AL36" s="4"/>
      <c r="AM36" s="4"/>
      <c r="AN36" s="4"/>
      <c r="AO36" s="4"/>
      <c r="AP36" s="4"/>
      <c r="AQ36" s="4"/>
      <c r="AR36" s="4"/>
      <c r="AS36" s="4"/>
      <c r="AT36" s="4"/>
      <c r="AU36" s="4"/>
      <c r="AV36" s="4"/>
      <c r="AW36" s="4"/>
      <c r="AX36" s="15"/>
      <c r="AY36" s="15"/>
    </row>
    <row r="37" spans="1:255" ht="13.95" customHeight="1" x14ac:dyDescent="0.15">
      <c r="A37" s="10"/>
      <c r="B37" s="10"/>
      <c r="C37" s="10"/>
      <c r="D37" s="10"/>
      <c r="E37" s="10"/>
      <c r="F37" s="10"/>
      <c r="G37" s="10"/>
      <c r="H37" s="10"/>
      <c r="I37" s="10"/>
      <c r="J37" s="10"/>
      <c r="K37" s="10"/>
      <c r="L37" s="10"/>
      <c r="M37" s="10"/>
      <c r="N37" s="10"/>
      <c r="O37" s="10"/>
      <c r="P37" s="10"/>
      <c r="Q37" s="10"/>
      <c r="R37" s="10"/>
      <c r="S37" s="74"/>
      <c r="T37" s="308"/>
      <c r="U37" s="308"/>
      <c r="V37" s="86" t="s">
        <v>368</v>
      </c>
      <c r="W37" s="87" t="s">
        <v>369</v>
      </c>
      <c r="X37" s="88">
        <f>Z63-SUM(X38:X40)</f>
        <v>0</v>
      </c>
      <c r="Y37" s="89">
        <f>Z64-SUM(Y38:Y40)</f>
        <v>0</v>
      </c>
      <c r="Z37" s="90">
        <f>Z65-SUM(Z38:Z40)</f>
        <v>0</v>
      </c>
      <c r="AA37" s="91" t="s">
        <v>370</v>
      </c>
      <c r="AB37" s="13"/>
      <c r="AC37" s="309" t="s">
        <v>733</v>
      </c>
      <c r="AD37" s="309"/>
      <c r="AE37" s="310" t="s">
        <v>371</v>
      </c>
      <c r="AF37" s="310"/>
      <c r="AG37" s="310"/>
      <c r="AH37" s="310"/>
      <c r="AI37" s="310"/>
      <c r="AJ37" s="310"/>
      <c r="AK37" s="14"/>
      <c r="AL37" s="4"/>
      <c r="AM37" s="4"/>
      <c r="AN37" s="4"/>
      <c r="AO37" s="4"/>
      <c r="AP37" s="4"/>
      <c r="AQ37" s="4"/>
      <c r="AR37" s="4"/>
      <c r="AS37" s="4"/>
      <c r="AT37" s="4"/>
      <c r="AU37" s="4"/>
      <c r="AV37" s="4"/>
      <c r="AW37" s="4"/>
      <c r="AX37" s="15"/>
      <c r="AY37" s="15"/>
    </row>
    <row r="38" spans="1:255" ht="13.95" customHeight="1" x14ac:dyDescent="0.15">
      <c r="A38" s="10"/>
      <c r="B38" s="311" t="s">
        <v>372</v>
      </c>
      <c r="C38" s="311"/>
      <c r="D38" s="311"/>
      <c r="E38" s="311"/>
      <c r="F38" s="311"/>
      <c r="G38" s="311"/>
      <c r="H38" s="311"/>
      <c r="I38" s="311"/>
      <c r="J38" s="312" t="s">
        <v>373</v>
      </c>
      <c r="K38" s="312"/>
      <c r="L38" s="312"/>
      <c r="M38" s="312"/>
      <c r="N38" s="312"/>
      <c r="O38" s="312"/>
      <c r="P38" s="312"/>
      <c r="Q38" s="312"/>
      <c r="R38" s="10"/>
      <c r="S38" s="74"/>
      <c r="T38" s="313" t="s">
        <v>374</v>
      </c>
      <c r="U38" s="313"/>
      <c r="V38" s="92">
        <v>1</v>
      </c>
      <c r="W38" s="93"/>
      <c r="X38" s="94">
        <v>3</v>
      </c>
      <c r="Y38" s="40"/>
      <c r="Z38" s="95"/>
      <c r="AA38" s="96">
        <f>ROUNDDOWN((Y38/2),0)+ROUNDDOWN((Z38/2),0)+(X38)</f>
        <v>3</v>
      </c>
      <c r="AB38" s="13"/>
      <c r="AC38" s="309" t="s">
        <v>1018</v>
      </c>
      <c r="AD38" s="309"/>
      <c r="AE38" s="310" t="s">
        <v>375</v>
      </c>
      <c r="AF38" s="310"/>
      <c r="AG38" s="310"/>
      <c r="AH38" s="310"/>
      <c r="AI38" s="310"/>
      <c r="AJ38" s="310"/>
      <c r="AK38" s="14"/>
      <c r="AL38" s="4"/>
      <c r="AM38" s="4"/>
      <c r="AN38" s="4"/>
      <c r="AO38" s="4"/>
      <c r="AP38" s="4"/>
      <c r="AQ38" s="4"/>
      <c r="AR38" s="4"/>
      <c r="AS38" s="4"/>
      <c r="AT38" s="4"/>
      <c r="AU38" s="4"/>
      <c r="AV38" s="4"/>
      <c r="AW38" s="4"/>
      <c r="AX38" s="15"/>
      <c r="AY38" s="15"/>
    </row>
    <row r="39" spans="1:255" ht="13.95" customHeight="1" x14ac:dyDescent="0.15">
      <c r="A39" s="10"/>
      <c r="B39" s="317" t="s">
        <v>712</v>
      </c>
      <c r="C39" s="317"/>
      <c r="D39" s="317"/>
      <c r="E39" s="300" t="s">
        <v>376</v>
      </c>
      <c r="F39" s="300"/>
      <c r="G39" s="300"/>
      <c r="H39" s="300" t="s">
        <v>377</v>
      </c>
      <c r="I39" s="300"/>
      <c r="J39" s="314" t="s">
        <v>2</v>
      </c>
      <c r="K39" s="314"/>
      <c r="L39" s="314"/>
      <c r="M39" s="314"/>
      <c r="N39" s="314"/>
      <c r="O39" s="314"/>
      <c r="P39" s="314"/>
      <c r="Q39" s="314"/>
      <c r="R39" s="10"/>
      <c r="S39" s="74"/>
      <c r="T39" s="313" t="s">
        <v>378</v>
      </c>
      <c r="U39" s="313"/>
      <c r="V39" s="92">
        <v>1</v>
      </c>
      <c r="W39" s="93">
        <v>1</v>
      </c>
      <c r="X39" s="97"/>
      <c r="Y39" s="98">
        <v>4</v>
      </c>
      <c r="Z39" s="95"/>
      <c r="AA39" s="99">
        <f>ROUNDDOWN((X39/2),0)+ROUNDDOWN((Z39/2),0)+(Y39)</f>
        <v>4</v>
      </c>
      <c r="AB39" s="13"/>
      <c r="AC39" s="309" t="s">
        <v>468</v>
      </c>
      <c r="AD39" s="309"/>
      <c r="AE39" s="310" t="s">
        <v>379</v>
      </c>
      <c r="AF39" s="310"/>
      <c r="AG39" s="310"/>
      <c r="AH39" s="310"/>
      <c r="AI39" s="310"/>
      <c r="AJ39" s="310"/>
      <c r="AK39" s="16"/>
      <c r="AL39" s="4"/>
      <c r="AM39" s="4"/>
      <c r="AN39" s="4"/>
      <c r="AO39" s="4"/>
      <c r="AP39" s="4"/>
      <c r="AQ39" s="4"/>
      <c r="AR39" s="4"/>
      <c r="AS39" s="4"/>
      <c r="AT39" s="4"/>
      <c r="AU39" s="4"/>
      <c r="AV39" s="4"/>
      <c r="AW39" s="4"/>
      <c r="AX39" s="15"/>
      <c r="AY39" s="15"/>
    </row>
    <row r="40" spans="1:255" ht="13.95" customHeight="1" x14ac:dyDescent="0.15">
      <c r="A40" s="10"/>
      <c r="B40" s="293" t="s">
        <v>745</v>
      </c>
      <c r="C40" s="293"/>
      <c r="D40" s="293"/>
      <c r="E40" s="296" t="s">
        <v>771</v>
      </c>
      <c r="F40" s="296"/>
      <c r="G40" s="296"/>
      <c r="H40" s="295" t="s">
        <v>50</v>
      </c>
      <c r="I40" s="295"/>
      <c r="J40" s="314"/>
      <c r="K40" s="314"/>
      <c r="L40" s="314"/>
      <c r="M40" s="314"/>
      <c r="N40" s="314"/>
      <c r="O40" s="314"/>
      <c r="P40" s="314"/>
      <c r="Q40" s="314"/>
      <c r="R40" s="10"/>
      <c r="S40" s="74"/>
      <c r="T40" s="316" t="s">
        <v>380</v>
      </c>
      <c r="U40" s="316"/>
      <c r="V40" s="100">
        <v>5</v>
      </c>
      <c r="W40" s="101"/>
      <c r="X40" s="102"/>
      <c r="Y40" s="58">
        <v>4</v>
      </c>
      <c r="Z40" s="103">
        <v>13</v>
      </c>
      <c r="AA40" s="104">
        <f>ROUNDDOWN((X40/2),0)+ROUNDDOWN((Y40/2),0)+(Z40)</f>
        <v>15</v>
      </c>
      <c r="AB40" s="13"/>
      <c r="AC40" s="309" t="s">
        <v>792</v>
      </c>
      <c r="AD40" s="309"/>
      <c r="AE40" s="310" t="s">
        <v>381</v>
      </c>
      <c r="AF40" s="310"/>
      <c r="AG40" s="310"/>
      <c r="AH40" s="310"/>
      <c r="AI40" s="310"/>
      <c r="AJ40" s="310"/>
      <c r="AK40" s="16"/>
      <c r="AL40" s="4"/>
      <c r="AM40" s="4"/>
      <c r="AN40" s="4"/>
      <c r="AO40" s="4"/>
      <c r="AP40" s="4"/>
      <c r="AQ40" s="4"/>
      <c r="AR40" s="4"/>
      <c r="AS40" s="4"/>
      <c r="AT40" s="4"/>
      <c r="AU40" s="4"/>
      <c r="AV40" s="4"/>
      <c r="AW40" s="4"/>
      <c r="AX40" s="15"/>
      <c r="AY40" s="15"/>
      <c r="IS40" s="105"/>
      <c r="IT40" s="105"/>
      <c r="IU40" s="105"/>
    </row>
    <row r="41" spans="1:255" ht="13.95" customHeight="1" x14ac:dyDescent="0.15">
      <c r="A41" s="10"/>
      <c r="B41" s="293" t="s">
        <v>985</v>
      </c>
      <c r="C41" s="293"/>
      <c r="D41" s="293"/>
      <c r="E41" s="296" t="s">
        <v>771</v>
      </c>
      <c r="F41" s="296"/>
      <c r="G41" s="296"/>
      <c r="H41" s="295" t="s">
        <v>27</v>
      </c>
      <c r="I41" s="295"/>
      <c r="J41" s="314"/>
      <c r="K41" s="314"/>
      <c r="L41" s="314"/>
      <c r="M41" s="314"/>
      <c r="N41" s="314"/>
      <c r="O41" s="314"/>
      <c r="P41" s="314"/>
      <c r="Q41" s="314"/>
      <c r="R41" s="10"/>
      <c r="S41" s="13"/>
      <c r="T41" s="14"/>
      <c r="U41" s="106"/>
      <c r="V41" s="107" t="s">
        <v>382</v>
      </c>
      <c r="W41" s="14"/>
      <c r="X41" s="315" t="s">
        <v>383</v>
      </c>
      <c r="Y41" s="315"/>
      <c r="Z41" s="315"/>
      <c r="AA41" s="74"/>
      <c r="AB41" s="17"/>
      <c r="AC41" s="302" t="s">
        <v>695</v>
      </c>
      <c r="AD41" s="302"/>
      <c r="AE41" s="303" t="s">
        <v>384</v>
      </c>
      <c r="AF41" s="303"/>
      <c r="AG41" s="303"/>
      <c r="AH41" s="303"/>
      <c r="AI41" s="303"/>
      <c r="AJ41" s="303"/>
      <c r="AK41" s="16"/>
      <c r="AL41" s="4"/>
      <c r="AM41" s="4"/>
      <c r="AN41" s="4"/>
      <c r="AO41" s="4"/>
      <c r="AP41" s="4"/>
      <c r="AQ41" s="4"/>
      <c r="AR41" s="4"/>
      <c r="AS41" s="4"/>
      <c r="AT41" s="4"/>
      <c r="AU41" s="4"/>
      <c r="AV41" s="4"/>
      <c r="AW41" s="4"/>
      <c r="AX41" s="15"/>
      <c r="AY41" s="15"/>
      <c r="IS41" s="105"/>
      <c r="IT41" s="105"/>
      <c r="IU41" s="105"/>
    </row>
    <row r="42" spans="1:255" ht="13.95" customHeight="1" x14ac:dyDescent="0.15">
      <c r="A42" s="10"/>
      <c r="B42" s="293" t="s">
        <v>985</v>
      </c>
      <c r="C42" s="293"/>
      <c r="D42" s="293"/>
      <c r="E42" s="296" t="s">
        <v>771</v>
      </c>
      <c r="F42" s="296"/>
      <c r="G42" s="296"/>
      <c r="H42" s="295"/>
      <c r="I42" s="295"/>
      <c r="J42" s="304" t="s">
        <v>385</v>
      </c>
      <c r="K42" s="304"/>
      <c r="L42" s="304"/>
      <c r="M42" s="304"/>
      <c r="N42" s="304"/>
      <c r="O42" s="304"/>
      <c r="P42" s="304"/>
      <c r="Q42" s="304"/>
      <c r="R42" s="10"/>
      <c r="S42" s="13"/>
      <c r="T42" s="106"/>
      <c r="U42" s="106"/>
      <c r="V42" s="106"/>
      <c r="W42" s="106"/>
      <c r="X42" s="305" t="s">
        <v>386</v>
      </c>
      <c r="Y42" s="305"/>
      <c r="Z42" s="305"/>
      <c r="AA42" s="74"/>
      <c r="AB42" s="13"/>
      <c r="AC42" s="13"/>
      <c r="AD42" s="13"/>
      <c r="AE42" s="13"/>
      <c r="AF42" s="13"/>
      <c r="AG42" s="13"/>
      <c r="AH42" s="13"/>
      <c r="AI42" s="13"/>
      <c r="AJ42" s="13"/>
      <c r="AK42" s="16"/>
      <c r="AL42" s="4"/>
      <c r="AM42" s="4"/>
      <c r="AN42" s="4"/>
      <c r="AO42" s="4"/>
      <c r="AP42" s="4"/>
      <c r="AQ42" s="4"/>
      <c r="AR42" s="4"/>
      <c r="AS42" s="4"/>
      <c r="AT42" s="4"/>
      <c r="AU42" s="4"/>
      <c r="AV42" s="4"/>
      <c r="AW42" s="4"/>
      <c r="AX42" s="4"/>
      <c r="AY42" s="15"/>
      <c r="IS42" s="105"/>
      <c r="IT42" s="105"/>
      <c r="IU42" s="105"/>
    </row>
    <row r="43" spans="1:255" ht="13.95" customHeight="1" x14ac:dyDescent="0.15">
      <c r="A43" s="10"/>
      <c r="B43" s="293" t="s">
        <v>985</v>
      </c>
      <c r="C43" s="293"/>
      <c r="D43" s="293"/>
      <c r="E43" s="296" t="s">
        <v>1040</v>
      </c>
      <c r="F43" s="296"/>
      <c r="G43" s="296"/>
      <c r="H43" s="295"/>
      <c r="I43" s="295"/>
      <c r="J43" s="306" t="s">
        <v>1</v>
      </c>
      <c r="K43" s="306"/>
      <c r="L43" s="306"/>
      <c r="M43" s="306"/>
      <c r="N43" s="306"/>
      <c r="O43" s="306"/>
      <c r="P43" s="306"/>
      <c r="Q43" s="306"/>
      <c r="R43" s="10"/>
      <c r="S43" s="13"/>
      <c r="T43" s="106"/>
      <c r="U43" s="106"/>
      <c r="V43" s="106"/>
      <c r="W43" s="106"/>
      <c r="X43" s="82" t="s">
        <v>364</v>
      </c>
      <c r="Y43" s="108" t="s">
        <v>365</v>
      </c>
      <c r="Z43" s="84" t="s">
        <v>366</v>
      </c>
      <c r="AA43" s="74"/>
      <c r="AB43" s="13"/>
      <c r="AC43" s="307" t="s">
        <v>387</v>
      </c>
      <c r="AD43" s="307"/>
      <c r="AE43" s="307"/>
      <c r="AF43" s="307"/>
      <c r="AG43" s="307"/>
      <c r="AH43" s="307"/>
      <c r="AI43" s="307"/>
      <c r="AJ43" s="307"/>
      <c r="AK43" s="14"/>
      <c r="AL43" s="4"/>
      <c r="AM43" s="4"/>
      <c r="AN43" s="4"/>
      <c r="AO43" s="4"/>
      <c r="AP43" s="4"/>
      <c r="AQ43" s="4"/>
      <c r="AR43" s="4"/>
      <c r="AS43" s="4"/>
      <c r="AT43" s="4"/>
      <c r="AU43" s="4"/>
      <c r="AV43" s="4"/>
      <c r="AW43" s="4"/>
      <c r="AX43" s="4"/>
      <c r="AY43" s="15"/>
      <c r="IU43" s="105"/>
    </row>
    <row r="44" spans="1:255" ht="13.95" customHeight="1" x14ac:dyDescent="0.15">
      <c r="A44" s="10"/>
      <c r="B44" s="293" t="s">
        <v>985</v>
      </c>
      <c r="C44" s="293"/>
      <c r="D44" s="293"/>
      <c r="E44" s="296" t="s">
        <v>1040</v>
      </c>
      <c r="F44" s="296"/>
      <c r="G44" s="296"/>
      <c r="H44" s="295"/>
      <c r="I44" s="295"/>
      <c r="J44" s="306"/>
      <c r="K44" s="306"/>
      <c r="L44" s="306"/>
      <c r="M44" s="306"/>
      <c r="N44" s="306"/>
      <c r="O44" s="306"/>
      <c r="P44" s="306"/>
      <c r="Q44" s="306"/>
      <c r="R44" s="10"/>
      <c r="S44" s="13"/>
      <c r="T44" s="106"/>
      <c r="U44" s="106"/>
      <c r="V44" s="106"/>
      <c r="W44" s="109" t="s">
        <v>370</v>
      </c>
      <c r="X44" s="110">
        <f>AA38</f>
        <v>3</v>
      </c>
      <c r="Y44" s="111">
        <f>AA39</f>
        <v>4</v>
      </c>
      <c r="Z44" s="112">
        <f>AA40</f>
        <v>15</v>
      </c>
      <c r="AA44" s="74"/>
      <c r="AB44" s="13"/>
      <c r="AC44" s="301" t="s">
        <v>388</v>
      </c>
      <c r="AD44" s="273" t="s">
        <v>389</v>
      </c>
      <c r="AE44" s="273"/>
      <c r="AF44" s="273"/>
      <c r="AG44" s="114" t="s">
        <v>390</v>
      </c>
      <c r="AH44" s="115" t="s">
        <v>391</v>
      </c>
      <c r="AI44" s="115" t="s">
        <v>392</v>
      </c>
      <c r="AJ44" s="115" t="s">
        <v>739</v>
      </c>
      <c r="AK44" s="14"/>
      <c r="AL44" s="4"/>
      <c r="AM44" s="4"/>
      <c r="AN44" s="4"/>
      <c r="AO44" s="4"/>
      <c r="AP44" s="4"/>
      <c r="AQ44" s="4"/>
      <c r="AR44" s="4"/>
      <c r="AS44" s="4"/>
      <c r="AT44" s="4"/>
      <c r="AU44" s="4"/>
      <c r="AV44" s="4"/>
      <c r="AW44" s="4"/>
      <c r="AX44" s="4"/>
      <c r="AY44" s="15"/>
    </row>
    <row r="45" spans="1:255" ht="13.95" customHeight="1" x14ac:dyDescent="0.15">
      <c r="A45" s="10"/>
      <c r="B45" s="293" t="s">
        <v>985</v>
      </c>
      <c r="C45" s="293"/>
      <c r="D45" s="293"/>
      <c r="E45" s="296" t="s">
        <v>985</v>
      </c>
      <c r="F45" s="296"/>
      <c r="G45" s="296"/>
      <c r="H45" s="295"/>
      <c r="I45" s="295"/>
      <c r="J45" s="306"/>
      <c r="K45" s="306"/>
      <c r="L45" s="306"/>
      <c r="M45" s="306"/>
      <c r="N45" s="306"/>
      <c r="O45" s="306"/>
      <c r="P45" s="306"/>
      <c r="Q45" s="306"/>
      <c r="R45" s="10"/>
      <c r="S45" s="13"/>
      <c r="T45" s="14"/>
      <c r="U45" s="14"/>
      <c r="V45" s="14"/>
      <c r="W45" s="116" t="s">
        <v>393</v>
      </c>
      <c r="X45" s="117">
        <f>X44-(V38*3)-W38</f>
        <v>0</v>
      </c>
      <c r="Y45" s="118">
        <f>Y44-(V39*3)-W39</f>
        <v>0</v>
      </c>
      <c r="Z45" s="119">
        <f>Z44-(V40*3)-W40</f>
        <v>0</v>
      </c>
      <c r="AA45" s="14"/>
      <c r="AB45" s="13"/>
      <c r="AC45" s="301"/>
      <c r="AD45" s="273"/>
      <c r="AE45" s="273"/>
      <c r="AF45" s="273"/>
      <c r="AG45" s="273" t="s">
        <v>389</v>
      </c>
      <c r="AH45" s="299" t="s">
        <v>394</v>
      </c>
      <c r="AI45" s="299" t="s">
        <v>395</v>
      </c>
      <c r="AJ45" s="299" t="s">
        <v>396</v>
      </c>
      <c r="AK45" s="14"/>
      <c r="AL45" s="4"/>
      <c r="AM45" s="4"/>
      <c r="AN45" s="4"/>
      <c r="AO45" s="4"/>
      <c r="AP45" s="4"/>
      <c r="AQ45" s="4"/>
      <c r="AR45" s="4"/>
      <c r="AS45" s="4"/>
      <c r="AT45" s="4"/>
      <c r="AU45" s="4"/>
      <c r="AV45" s="4"/>
      <c r="AW45" s="4"/>
      <c r="AX45" s="4"/>
      <c r="AY45" s="15"/>
    </row>
    <row r="46" spans="1:255" ht="13.95" customHeight="1" x14ac:dyDescent="0.15">
      <c r="A46" s="10"/>
      <c r="B46" s="293" t="s">
        <v>985</v>
      </c>
      <c r="C46" s="293"/>
      <c r="D46" s="293"/>
      <c r="E46" s="296" t="s">
        <v>985</v>
      </c>
      <c r="F46" s="296"/>
      <c r="G46" s="296"/>
      <c r="H46" s="295"/>
      <c r="I46" s="295"/>
      <c r="J46" s="306"/>
      <c r="K46" s="306"/>
      <c r="L46" s="306"/>
      <c r="M46" s="306"/>
      <c r="N46" s="306"/>
      <c r="O46" s="306"/>
      <c r="P46" s="306"/>
      <c r="Q46" s="306"/>
      <c r="R46" s="10"/>
      <c r="S46" s="13"/>
      <c r="T46" s="13"/>
      <c r="U46" s="13"/>
      <c r="V46" s="13"/>
      <c r="W46" s="13"/>
      <c r="X46" s="13"/>
      <c r="Y46" s="13"/>
      <c r="Z46" s="13"/>
      <c r="AA46" s="13"/>
      <c r="AB46" s="13"/>
      <c r="AC46" s="301"/>
      <c r="AD46" s="301"/>
      <c r="AE46" s="273"/>
      <c r="AF46" s="273"/>
      <c r="AG46" s="273"/>
      <c r="AH46" s="299"/>
      <c r="AI46" s="299"/>
      <c r="AJ46" s="299"/>
      <c r="AK46" s="14"/>
      <c r="AL46" s="4"/>
      <c r="AM46" s="4"/>
      <c r="AN46" s="4"/>
      <c r="AO46" s="4"/>
      <c r="AP46" s="4"/>
      <c r="AQ46" s="4"/>
      <c r="AR46" s="4"/>
      <c r="AS46" s="4"/>
      <c r="AT46" s="4"/>
      <c r="AU46" s="4"/>
      <c r="AV46" s="4"/>
      <c r="AW46" s="4"/>
      <c r="AX46" s="4"/>
      <c r="AY46" s="15"/>
    </row>
    <row r="47" spans="1:255" ht="13.95" customHeight="1" x14ac:dyDescent="0.15">
      <c r="A47" s="10"/>
      <c r="B47" s="293" t="s">
        <v>985</v>
      </c>
      <c r="C47" s="293"/>
      <c r="D47" s="293"/>
      <c r="E47" s="296" t="s">
        <v>985</v>
      </c>
      <c r="F47" s="296"/>
      <c r="G47" s="296"/>
      <c r="H47" s="295"/>
      <c r="I47" s="295"/>
      <c r="J47" s="306"/>
      <c r="K47" s="306"/>
      <c r="L47" s="306"/>
      <c r="M47" s="306"/>
      <c r="N47" s="306"/>
      <c r="O47" s="306"/>
      <c r="P47" s="306"/>
      <c r="Q47" s="306"/>
      <c r="R47" s="10"/>
      <c r="S47" s="13"/>
      <c r="T47" s="274" t="s">
        <v>310</v>
      </c>
      <c r="U47" s="274"/>
      <c r="V47" s="274"/>
      <c r="W47" s="274"/>
      <c r="X47" s="274"/>
      <c r="Y47" s="274"/>
      <c r="Z47" s="274"/>
      <c r="AA47" s="274"/>
      <c r="AB47" s="13"/>
      <c r="AC47" s="120" t="s">
        <v>303</v>
      </c>
      <c r="AD47" s="273" t="s">
        <v>397</v>
      </c>
      <c r="AE47" s="273"/>
      <c r="AF47" s="273"/>
      <c r="AG47" s="113" t="s">
        <v>1046</v>
      </c>
      <c r="AH47" s="120" t="s">
        <v>131</v>
      </c>
      <c r="AI47" s="120" t="s">
        <v>132</v>
      </c>
      <c r="AJ47" s="120" t="s">
        <v>133</v>
      </c>
      <c r="AK47" s="14"/>
      <c r="AL47" s="4"/>
      <c r="AM47" s="4"/>
      <c r="AN47" s="4"/>
      <c r="AO47" s="4"/>
      <c r="AP47" s="4"/>
      <c r="AQ47" s="4"/>
      <c r="AR47" s="4"/>
      <c r="AS47" s="4"/>
      <c r="AT47" s="4"/>
      <c r="AU47" s="4"/>
      <c r="AV47" s="4"/>
      <c r="AW47" s="4"/>
      <c r="AX47" s="4"/>
      <c r="AY47" s="15"/>
    </row>
    <row r="48" spans="1:255" ht="13.95" customHeight="1" x14ac:dyDescent="0.15">
      <c r="A48" s="10"/>
      <c r="B48" s="293" t="s">
        <v>985</v>
      </c>
      <c r="C48" s="293"/>
      <c r="D48" s="293"/>
      <c r="E48" s="296" t="s">
        <v>985</v>
      </c>
      <c r="F48" s="296"/>
      <c r="G48" s="296"/>
      <c r="H48" s="295"/>
      <c r="I48" s="295"/>
      <c r="J48" s="306"/>
      <c r="K48" s="306"/>
      <c r="L48" s="306"/>
      <c r="M48" s="306"/>
      <c r="N48" s="306"/>
      <c r="O48" s="306"/>
      <c r="P48" s="306"/>
      <c r="Q48" s="306"/>
      <c r="R48" s="10"/>
      <c r="S48" s="13"/>
      <c r="T48" s="121"/>
      <c r="U48" s="122" t="s">
        <v>134</v>
      </c>
      <c r="V48" s="297" t="s">
        <v>135</v>
      </c>
      <c r="W48" s="297"/>
      <c r="X48" s="122" t="s">
        <v>136</v>
      </c>
      <c r="Y48" s="122" t="s">
        <v>301</v>
      </c>
      <c r="Z48" s="122" t="s">
        <v>137</v>
      </c>
      <c r="AA48" s="26" t="s">
        <v>77</v>
      </c>
      <c r="AB48" s="13"/>
      <c r="AC48" s="120" t="s">
        <v>304</v>
      </c>
      <c r="AD48" s="273" t="s">
        <v>138</v>
      </c>
      <c r="AE48" s="273"/>
      <c r="AF48" s="273"/>
      <c r="AG48" s="113" t="s">
        <v>1031</v>
      </c>
      <c r="AH48" s="120" t="s">
        <v>139</v>
      </c>
      <c r="AI48" s="120" t="s">
        <v>140</v>
      </c>
      <c r="AJ48" s="120" t="s">
        <v>141</v>
      </c>
      <c r="AK48" s="14"/>
      <c r="AL48" s="4"/>
      <c r="AM48" s="4"/>
      <c r="AN48" s="4"/>
      <c r="AO48" s="4"/>
      <c r="AP48" s="4"/>
      <c r="AQ48" s="4"/>
      <c r="AR48" s="4"/>
      <c r="AS48" s="4"/>
      <c r="AT48" s="4"/>
      <c r="AU48" s="4"/>
      <c r="AV48" s="4"/>
      <c r="AW48" s="4"/>
      <c r="AX48" s="4"/>
      <c r="AY48" s="15"/>
    </row>
    <row r="49" spans="1:51" ht="13.95" customHeight="1" x14ac:dyDescent="0.15">
      <c r="A49" s="10"/>
      <c r="B49" s="293" t="s">
        <v>985</v>
      </c>
      <c r="C49" s="293"/>
      <c r="D49" s="293"/>
      <c r="E49" s="296" t="s">
        <v>985</v>
      </c>
      <c r="F49" s="296"/>
      <c r="G49" s="296"/>
      <c r="H49" s="295"/>
      <c r="I49" s="295"/>
      <c r="J49" s="306"/>
      <c r="K49" s="306"/>
      <c r="L49" s="306"/>
      <c r="M49" s="306"/>
      <c r="N49" s="306"/>
      <c r="O49" s="306"/>
      <c r="P49" s="306"/>
      <c r="Q49" s="306"/>
      <c r="R49" s="10"/>
      <c r="S49" s="13"/>
      <c r="T49" s="123" t="s">
        <v>76</v>
      </c>
      <c r="U49" s="38">
        <f>(AA10*2)+(AA11)</f>
        <v>14</v>
      </c>
      <c r="V49" s="68"/>
      <c r="W49" s="60"/>
      <c r="X49" s="124" t="s">
        <v>79</v>
      </c>
      <c r="Y49" s="124" t="s">
        <v>79</v>
      </c>
      <c r="Z49" s="68"/>
      <c r="AA49" s="125">
        <f t="shared" ref="AA49:AA59" si="8">SUM(U49:Z49)</f>
        <v>14</v>
      </c>
      <c r="AB49" s="13"/>
      <c r="AC49" s="120" t="s">
        <v>142</v>
      </c>
      <c r="AD49" s="273" t="s">
        <v>143</v>
      </c>
      <c r="AE49" s="273"/>
      <c r="AF49" s="273"/>
      <c r="AG49" s="113" t="s">
        <v>1014</v>
      </c>
      <c r="AH49" s="120" t="s">
        <v>144</v>
      </c>
      <c r="AI49" s="120" t="s">
        <v>145</v>
      </c>
      <c r="AJ49" s="120" t="s">
        <v>146</v>
      </c>
      <c r="AK49" s="14"/>
      <c r="AL49" s="4"/>
      <c r="AM49" s="4"/>
      <c r="AN49" s="4"/>
      <c r="AO49" s="4"/>
      <c r="AP49" s="4"/>
      <c r="AQ49" s="4"/>
      <c r="AR49" s="4"/>
      <c r="AS49" s="4"/>
      <c r="AT49" s="4"/>
      <c r="AU49" s="4"/>
      <c r="AV49" s="4"/>
      <c r="AW49" s="4"/>
      <c r="AX49" s="4"/>
      <c r="AY49" s="15"/>
    </row>
    <row r="50" spans="1:51" ht="13.95" customHeight="1" x14ac:dyDescent="0.15">
      <c r="A50" s="10"/>
      <c r="B50" s="293" t="s">
        <v>985</v>
      </c>
      <c r="C50" s="293"/>
      <c r="D50" s="293"/>
      <c r="E50" s="298" t="s">
        <v>51</v>
      </c>
      <c r="F50" s="298"/>
      <c r="G50" s="298"/>
      <c r="H50" s="295"/>
      <c r="I50" s="295"/>
      <c r="J50" s="306"/>
      <c r="K50" s="306"/>
      <c r="L50" s="306"/>
      <c r="M50" s="306"/>
      <c r="N50" s="306"/>
      <c r="O50" s="306"/>
      <c r="P50" s="306"/>
      <c r="Q50" s="306"/>
      <c r="R50" s="10"/>
      <c r="S50" s="13"/>
      <c r="T50" s="123" t="s">
        <v>81</v>
      </c>
      <c r="U50" s="38">
        <f>AA13+ROUNDDOWN((AA11/2),0)+ROUNDDOWN((AA16/2),0)+10</f>
        <v>27</v>
      </c>
      <c r="V50" s="68"/>
      <c r="W50" s="68"/>
      <c r="X50" s="38">
        <f>IF(H18&lt;18,0,3)</f>
        <v>0</v>
      </c>
      <c r="Y50" s="38" t="str">
        <f>IF(C13="大器",10,"　")</f>
        <v>　</v>
      </c>
      <c r="Z50" s="68"/>
      <c r="AA50" s="125">
        <f t="shared" si="8"/>
        <v>27</v>
      </c>
      <c r="AB50" s="13"/>
      <c r="AC50" s="120" t="s">
        <v>147</v>
      </c>
      <c r="AD50" s="273" t="s">
        <v>148</v>
      </c>
      <c r="AE50" s="273"/>
      <c r="AF50" s="273"/>
      <c r="AG50" s="113" t="s">
        <v>995</v>
      </c>
      <c r="AH50" s="120" t="s">
        <v>149</v>
      </c>
      <c r="AI50" s="120" t="s">
        <v>150</v>
      </c>
      <c r="AJ50" s="120" t="s">
        <v>151</v>
      </c>
      <c r="AK50" s="16"/>
      <c r="AL50" s="4"/>
      <c r="AM50" s="4"/>
      <c r="AN50" s="4"/>
      <c r="AO50" s="4"/>
      <c r="AP50" s="4"/>
      <c r="AQ50" s="4"/>
      <c r="AR50" s="4"/>
      <c r="AS50" s="4"/>
      <c r="AT50" s="4"/>
      <c r="AU50" s="4"/>
      <c r="AV50" s="4"/>
      <c r="AW50" s="4"/>
      <c r="AX50" s="4"/>
      <c r="AY50" s="15"/>
    </row>
    <row r="51" spans="1:51" ht="13.95" customHeight="1" x14ac:dyDescent="0.15">
      <c r="A51" s="10"/>
      <c r="B51" s="293" t="s">
        <v>985</v>
      </c>
      <c r="C51" s="293"/>
      <c r="D51" s="293"/>
      <c r="E51" s="294" t="s">
        <v>52</v>
      </c>
      <c r="F51" s="294"/>
      <c r="G51" s="294"/>
      <c r="H51" s="295"/>
      <c r="I51" s="295"/>
      <c r="J51" s="306"/>
      <c r="K51" s="306"/>
      <c r="L51" s="306"/>
      <c r="M51" s="306"/>
      <c r="N51" s="306"/>
      <c r="O51" s="306"/>
      <c r="P51" s="306"/>
      <c r="Q51" s="306"/>
      <c r="R51" s="10"/>
      <c r="S51" s="13"/>
      <c r="T51" s="126" t="s">
        <v>87</v>
      </c>
      <c r="U51" s="127">
        <f>AA50-ROUNDDOWN((AA55/3),0)</f>
        <v>23</v>
      </c>
      <c r="V51" s="127" t="s">
        <v>79</v>
      </c>
      <c r="W51" s="127" t="s">
        <v>79</v>
      </c>
      <c r="X51" s="127" t="s">
        <v>79</v>
      </c>
      <c r="Y51" s="127" t="s">
        <v>79</v>
      </c>
      <c r="Z51" s="128"/>
      <c r="AA51" s="125">
        <f t="shared" si="8"/>
        <v>23</v>
      </c>
      <c r="AB51" s="13"/>
      <c r="AC51" s="120" t="s">
        <v>149</v>
      </c>
      <c r="AD51" s="273" t="s">
        <v>152</v>
      </c>
      <c r="AE51" s="273"/>
      <c r="AF51" s="273"/>
      <c r="AG51" s="113" t="s">
        <v>760</v>
      </c>
      <c r="AH51" s="120" t="s">
        <v>130</v>
      </c>
      <c r="AI51" s="120" t="s">
        <v>154</v>
      </c>
      <c r="AJ51" s="120" t="s">
        <v>155</v>
      </c>
      <c r="AK51" s="16"/>
      <c r="AL51" s="4"/>
      <c r="AM51" s="4"/>
      <c r="AN51" s="4"/>
      <c r="AO51" s="4"/>
      <c r="AP51" s="4"/>
      <c r="AQ51" s="4"/>
      <c r="AR51" s="4"/>
      <c r="AS51" s="4"/>
      <c r="AT51" s="4"/>
      <c r="AU51" s="4"/>
      <c r="AV51" s="4"/>
      <c r="AW51" s="4"/>
      <c r="AX51" s="4"/>
      <c r="AY51" s="15"/>
    </row>
    <row r="52" spans="1:51" ht="13.95" customHeight="1" thickBot="1" x14ac:dyDescent="0.2">
      <c r="A52" s="10"/>
      <c r="B52" s="272" t="s">
        <v>156</v>
      </c>
      <c r="C52" s="272"/>
      <c r="D52" s="272"/>
      <c r="E52" s="272"/>
      <c r="F52" s="272"/>
      <c r="G52" s="272"/>
      <c r="H52" s="272"/>
      <c r="I52" s="272"/>
      <c r="J52" s="272"/>
      <c r="K52" s="272"/>
      <c r="L52" s="272"/>
      <c r="M52" s="272"/>
      <c r="N52" s="272"/>
      <c r="O52" s="272"/>
      <c r="P52" s="272"/>
      <c r="Q52" s="272"/>
      <c r="R52" s="10"/>
      <c r="S52" s="13"/>
      <c r="T52" s="123" t="s">
        <v>95</v>
      </c>
      <c r="U52" s="38">
        <f>ROUNDDOWN((AA11/2),0)</f>
        <v>2</v>
      </c>
      <c r="V52" s="127" t="s">
        <v>79</v>
      </c>
      <c r="W52" s="127" t="s">
        <v>79</v>
      </c>
      <c r="X52" s="38">
        <f>IF(H17&lt;18,0,1)</f>
        <v>0</v>
      </c>
      <c r="Y52" s="124" t="s">
        <v>79</v>
      </c>
      <c r="Z52" s="68"/>
      <c r="AA52" s="125">
        <f t="shared" si="8"/>
        <v>2</v>
      </c>
      <c r="AB52" s="13"/>
      <c r="AC52" s="120" t="s">
        <v>157</v>
      </c>
      <c r="AD52" s="273" t="s">
        <v>158</v>
      </c>
      <c r="AE52" s="273"/>
      <c r="AF52" s="273"/>
      <c r="AG52" s="113" t="s">
        <v>739</v>
      </c>
      <c r="AH52" s="120" t="s">
        <v>308</v>
      </c>
      <c r="AI52" s="120" t="s">
        <v>159</v>
      </c>
      <c r="AJ52" s="120" t="s">
        <v>160</v>
      </c>
      <c r="AK52" s="16"/>
      <c r="AL52" s="4"/>
      <c r="AM52" s="4"/>
      <c r="AN52" s="4"/>
      <c r="AO52" s="4"/>
      <c r="AP52" s="4"/>
      <c r="AQ52" s="4"/>
      <c r="AR52" s="4"/>
      <c r="AS52" s="4"/>
      <c r="AT52" s="4"/>
      <c r="AU52" s="4"/>
      <c r="AV52" s="4"/>
      <c r="AW52" s="4"/>
      <c r="AX52" s="4"/>
      <c r="AY52" s="15"/>
    </row>
    <row r="53" spans="1:51" ht="13.95" customHeight="1" x14ac:dyDescent="0.15">
      <c r="A53" s="10"/>
      <c r="B53" s="277" t="s">
        <v>49</v>
      </c>
      <c r="C53" s="278"/>
      <c r="D53" s="278"/>
      <c r="E53" s="278"/>
      <c r="F53" s="278"/>
      <c r="G53" s="278"/>
      <c r="H53" s="278"/>
      <c r="I53" s="278"/>
      <c r="J53" s="278"/>
      <c r="K53" s="278"/>
      <c r="L53" s="278"/>
      <c r="M53" s="278"/>
      <c r="N53" s="278"/>
      <c r="O53" s="278"/>
      <c r="P53" s="278"/>
      <c r="Q53" s="279"/>
      <c r="R53" s="10"/>
      <c r="S53" s="17"/>
      <c r="T53" s="123" t="s">
        <v>100</v>
      </c>
      <c r="U53" s="38">
        <f>ROUNDDOWN((AA13/2),0)</f>
        <v>6</v>
      </c>
      <c r="V53" s="127" t="s">
        <v>79</v>
      </c>
      <c r="W53" s="127" t="s">
        <v>79</v>
      </c>
      <c r="X53" s="127" t="s">
        <v>79</v>
      </c>
      <c r="Y53" s="124" t="s">
        <v>79</v>
      </c>
      <c r="Z53" s="129"/>
      <c r="AA53" s="125">
        <f t="shared" si="8"/>
        <v>6</v>
      </c>
      <c r="AB53" s="13"/>
      <c r="AC53" s="74"/>
      <c r="AD53" s="74"/>
      <c r="AE53" s="74"/>
      <c r="AF53" s="74"/>
      <c r="AG53" s="74"/>
      <c r="AH53" s="74"/>
      <c r="AI53" s="74"/>
      <c r="AJ53" s="74"/>
      <c r="AK53" s="16"/>
      <c r="AL53" s="4"/>
      <c r="AM53" s="4"/>
      <c r="AN53" s="4"/>
      <c r="AO53" s="4"/>
      <c r="AP53" s="4"/>
      <c r="AQ53" s="4"/>
      <c r="AR53" s="4"/>
      <c r="AS53" s="4"/>
      <c r="AT53" s="4"/>
      <c r="AU53" s="4"/>
      <c r="AV53" s="4"/>
      <c r="AW53" s="4"/>
      <c r="AX53" s="4"/>
      <c r="AY53" s="15"/>
    </row>
    <row r="54" spans="1:51" ht="13.95" customHeight="1" x14ac:dyDescent="0.15">
      <c r="A54" s="10"/>
      <c r="B54" s="280"/>
      <c r="C54" s="281"/>
      <c r="D54" s="281"/>
      <c r="E54" s="281"/>
      <c r="F54" s="281"/>
      <c r="G54" s="281"/>
      <c r="H54" s="281"/>
      <c r="I54" s="281"/>
      <c r="J54" s="281"/>
      <c r="K54" s="281"/>
      <c r="L54" s="281"/>
      <c r="M54" s="281"/>
      <c r="N54" s="281"/>
      <c r="O54" s="281"/>
      <c r="P54" s="281"/>
      <c r="Q54" s="282"/>
      <c r="R54" s="10"/>
      <c r="S54" s="13"/>
      <c r="T54" s="123" t="s">
        <v>102</v>
      </c>
      <c r="U54" s="38">
        <f>ROUNDDOWN((AA12/3),0)+ROUNDDOWN((AA15/2),0)</f>
        <v>3</v>
      </c>
      <c r="V54" s="127" t="s">
        <v>79</v>
      </c>
      <c r="W54" s="127" t="s">
        <v>79</v>
      </c>
      <c r="X54" s="127" t="s">
        <v>79</v>
      </c>
      <c r="Y54" s="124" t="s">
        <v>79</v>
      </c>
      <c r="Z54" s="68"/>
      <c r="AA54" s="125">
        <f t="shared" si="8"/>
        <v>3</v>
      </c>
      <c r="AB54" s="17"/>
      <c r="AC54" s="74"/>
      <c r="AD54" s="74"/>
      <c r="AE54" s="74"/>
      <c r="AF54" s="74"/>
      <c r="AG54" s="74"/>
      <c r="AH54" s="74"/>
      <c r="AI54" s="74"/>
      <c r="AJ54" s="74"/>
      <c r="AK54" s="16"/>
      <c r="AL54" s="4"/>
      <c r="AM54" s="4"/>
      <c r="AN54" s="4"/>
      <c r="AO54" s="4"/>
      <c r="AP54" s="4"/>
      <c r="AQ54" s="4"/>
      <c r="AR54" s="4"/>
      <c r="AS54" s="4"/>
      <c r="AT54" s="4"/>
      <c r="AU54" s="4"/>
      <c r="AV54" s="4"/>
      <c r="AW54" s="4"/>
      <c r="AX54" s="4"/>
      <c r="AY54" s="15"/>
    </row>
    <row r="55" spans="1:51" ht="13.95" customHeight="1" thickBot="1" x14ac:dyDescent="0.2">
      <c r="A55" s="10"/>
      <c r="B55" s="283"/>
      <c r="C55" s="284"/>
      <c r="D55" s="284"/>
      <c r="E55" s="284"/>
      <c r="F55" s="284"/>
      <c r="G55" s="284"/>
      <c r="H55" s="284"/>
      <c r="I55" s="284"/>
      <c r="J55" s="284"/>
      <c r="K55" s="284"/>
      <c r="L55" s="284"/>
      <c r="M55" s="284"/>
      <c r="N55" s="284"/>
      <c r="O55" s="284"/>
      <c r="P55" s="284"/>
      <c r="Q55" s="285"/>
      <c r="R55" s="10"/>
      <c r="S55" s="13"/>
      <c r="T55" s="123" t="s">
        <v>161</v>
      </c>
      <c r="U55" s="38">
        <f>ROUNDDOWN((AA12/2),0)+ROUNDDOWN((AA16/2),0)+ROUNDDOWN((AA13/2),0)</f>
        <v>12</v>
      </c>
      <c r="V55" s="127" t="s">
        <v>79</v>
      </c>
      <c r="W55" s="127" t="s">
        <v>79</v>
      </c>
      <c r="X55" s="127" t="s">
        <v>79</v>
      </c>
      <c r="Y55" s="124" t="s">
        <v>79</v>
      </c>
      <c r="Z55" s="68"/>
      <c r="AA55" s="130">
        <f t="shared" si="8"/>
        <v>12</v>
      </c>
      <c r="AB55" s="17"/>
      <c r="AC55" s="74"/>
      <c r="AD55" s="74"/>
      <c r="AE55" s="74"/>
      <c r="AF55" s="74"/>
      <c r="AG55" s="74"/>
      <c r="AH55" s="74"/>
      <c r="AI55" s="74"/>
      <c r="AJ55" s="74"/>
      <c r="AK55" s="16"/>
      <c r="AL55" s="4"/>
      <c r="AM55" s="4"/>
      <c r="AN55" s="4"/>
      <c r="AO55" s="4"/>
      <c r="AP55" s="4"/>
      <c r="AQ55" s="4"/>
      <c r="AR55" s="4"/>
      <c r="AS55" s="4"/>
      <c r="AT55" s="4"/>
      <c r="AU55" s="4"/>
      <c r="AV55" s="4"/>
      <c r="AW55" s="4"/>
      <c r="AX55" s="4"/>
      <c r="AY55" s="15"/>
    </row>
    <row r="56" spans="1:51" ht="13.95" customHeight="1" x14ac:dyDescent="0.15">
      <c r="A56" s="10"/>
      <c r="B56" s="286" t="s">
        <v>979</v>
      </c>
      <c r="C56" s="287"/>
      <c r="D56" s="287"/>
      <c r="E56" s="287"/>
      <c r="F56" s="287"/>
      <c r="G56" s="287"/>
      <c r="H56" s="287"/>
      <c r="I56" s="287"/>
      <c r="J56" s="287"/>
      <c r="K56" s="287"/>
      <c r="L56" s="287"/>
      <c r="M56" s="287"/>
      <c r="N56" s="287"/>
      <c r="O56" s="287"/>
      <c r="P56" s="287"/>
      <c r="Q56" s="288"/>
      <c r="R56" s="10"/>
      <c r="S56" s="13"/>
      <c r="T56" s="123" t="s">
        <v>162</v>
      </c>
      <c r="U56" s="38">
        <f>ROUNDDOWN((AA11/2),0)+(AA14)</f>
        <v>14</v>
      </c>
      <c r="V56" s="127" t="s">
        <v>79</v>
      </c>
      <c r="W56" s="127" t="s">
        <v>79</v>
      </c>
      <c r="X56" s="38">
        <f>IF(H22&lt;18,0,2)+IF(H20&lt;18,0,1)</f>
        <v>0</v>
      </c>
      <c r="Y56" s="124" t="s">
        <v>79</v>
      </c>
      <c r="Z56" s="68"/>
      <c r="AA56" s="130">
        <f t="shared" si="8"/>
        <v>14</v>
      </c>
      <c r="AB56" s="17"/>
      <c r="AC56" s="74"/>
      <c r="AD56" s="74"/>
      <c r="AE56" s="74"/>
      <c r="AF56" s="74"/>
      <c r="AG56" s="74"/>
      <c r="AH56" s="74"/>
      <c r="AI56" s="74"/>
      <c r="AJ56" s="74"/>
      <c r="AK56" s="16"/>
      <c r="AL56" s="4"/>
      <c r="AM56" s="4"/>
      <c r="AN56" s="4"/>
      <c r="AO56" s="4"/>
      <c r="AP56" s="4"/>
      <c r="AQ56" s="4"/>
      <c r="AR56" s="4"/>
      <c r="AS56" s="4"/>
      <c r="AT56" s="4"/>
      <c r="AU56" s="4"/>
      <c r="AV56" s="4"/>
      <c r="AW56" s="4"/>
      <c r="AX56" s="4"/>
      <c r="AY56" s="15"/>
    </row>
    <row r="57" spans="1:51" ht="13.95" customHeight="1" x14ac:dyDescent="0.15">
      <c r="A57" s="10"/>
      <c r="B57" s="289"/>
      <c r="C57" s="287"/>
      <c r="D57" s="287"/>
      <c r="E57" s="287"/>
      <c r="F57" s="287"/>
      <c r="G57" s="287"/>
      <c r="H57" s="287"/>
      <c r="I57" s="287"/>
      <c r="J57" s="287"/>
      <c r="K57" s="287"/>
      <c r="L57" s="287"/>
      <c r="M57" s="287"/>
      <c r="N57" s="287"/>
      <c r="O57" s="287"/>
      <c r="P57" s="287"/>
      <c r="Q57" s="288"/>
      <c r="R57" s="10"/>
      <c r="S57" s="13"/>
      <c r="T57" s="123" t="s">
        <v>163</v>
      </c>
      <c r="U57" s="38">
        <f>ROUNDDOWN((AA12/2),0)+(AA15)</f>
        <v>5</v>
      </c>
      <c r="V57" s="127" t="s">
        <v>79</v>
      </c>
      <c r="W57" s="127" t="s">
        <v>79</v>
      </c>
      <c r="X57" s="38">
        <f>IF(H21&lt;18,0,2)+IF(H20&lt;18,0,1)</f>
        <v>0</v>
      </c>
      <c r="Y57" s="124" t="s">
        <v>79</v>
      </c>
      <c r="Z57" s="68"/>
      <c r="AA57" s="130">
        <f t="shared" si="8"/>
        <v>5</v>
      </c>
      <c r="AB57" s="17"/>
      <c r="AC57" s="74"/>
      <c r="AD57" s="74"/>
      <c r="AE57" s="74"/>
      <c r="AF57" s="74"/>
      <c r="AG57" s="74"/>
      <c r="AH57" s="74"/>
      <c r="AI57" s="74"/>
      <c r="AJ57" s="74"/>
      <c r="AK57" s="16"/>
      <c r="AL57" s="4"/>
      <c r="AM57" s="4"/>
      <c r="AN57" s="4"/>
      <c r="AO57" s="4"/>
      <c r="AP57" s="4"/>
      <c r="AQ57" s="4"/>
      <c r="AR57" s="4"/>
      <c r="AS57" s="4"/>
      <c r="AT57" s="4"/>
      <c r="AU57" s="4"/>
      <c r="AV57" s="4"/>
      <c r="AW57" s="4"/>
      <c r="AX57" s="4"/>
      <c r="AY57" s="15"/>
    </row>
    <row r="58" spans="1:51" ht="13.95" customHeight="1" x14ac:dyDescent="0.15">
      <c r="A58" s="10"/>
      <c r="B58" s="289"/>
      <c r="C58" s="287"/>
      <c r="D58" s="287"/>
      <c r="E58" s="287"/>
      <c r="F58" s="287"/>
      <c r="G58" s="287"/>
      <c r="H58" s="287"/>
      <c r="I58" s="287"/>
      <c r="J58" s="287"/>
      <c r="K58" s="287"/>
      <c r="L58" s="287"/>
      <c r="M58" s="287"/>
      <c r="N58" s="287"/>
      <c r="O58" s="287"/>
      <c r="P58" s="287"/>
      <c r="Q58" s="288"/>
      <c r="R58" s="10"/>
      <c r="S58" s="13"/>
      <c r="T58" s="123" t="s">
        <v>101</v>
      </c>
      <c r="U58" s="38">
        <f>ROUNDDOWN((AA13/2),0)+ROUNDDOWN((AA14/2),0)</f>
        <v>12</v>
      </c>
      <c r="V58" s="127" t="s">
        <v>79</v>
      </c>
      <c r="W58" s="127" t="s">
        <v>79</v>
      </c>
      <c r="X58" s="127" t="s">
        <v>79</v>
      </c>
      <c r="Y58" s="124" t="s">
        <v>79</v>
      </c>
      <c r="Z58" s="68"/>
      <c r="AA58" s="125">
        <f t="shared" si="8"/>
        <v>12</v>
      </c>
      <c r="AB58" s="17"/>
      <c r="AC58" s="74"/>
      <c r="AD58" s="74"/>
      <c r="AE58" s="74"/>
      <c r="AF58" s="74"/>
      <c r="AG58" s="74"/>
      <c r="AH58" s="74"/>
      <c r="AI58" s="74"/>
      <c r="AJ58" s="74"/>
      <c r="AK58" s="16"/>
      <c r="AL58" s="4"/>
      <c r="AM58" s="4"/>
      <c r="AN58" s="4"/>
      <c r="AO58" s="4"/>
      <c r="AP58" s="4"/>
      <c r="AQ58" s="4"/>
      <c r="AR58" s="4"/>
      <c r="AS58" s="4"/>
      <c r="AT58" s="4"/>
      <c r="AU58" s="4"/>
      <c r="AV58" s="4"/>
      <c r="AW58" s="4"/>
      <c r="AX58" s="4"/>
      <c r="AY58" s="15"/>
    </row>
    <row r="59" spans="1:51" ht="13.95" customHeight="1" thickBot="1" x14ac:dyDescent="0.2">
      <c r="A59" s="10"/>
      <c r="B59" s="289"/>
      <c r="C59" s="287"/>
      <c r="D59" s="287"/>
      <c r="E59" s="287"/>
      <c r="F59" s="287"/>
      <c r="G59" s="287"/>
      <c r="H59" s="287"/>
      <c r="I59" s="287"/>
      <c r="J59" s="287"/>
      <c r="K59" s="287"/>
      <c r="L59" s="287"/>
      <c r="M59" s="287"/>
      <c r="N59" s="287"/>
      <c r="O59" s="287"/>
      <c r="P59" s="287"/>
      <c r="Q59" s="288"/>
      <c r="R59" s="10"/>
      <c r="S59" s="13"/>
      <c r="T59" s="72" t="s">
        <v>103</v>
      </c>
      <c r="U59" s="73">
        <f>ROUNDDOWN(((AA12)+(AA16))/4,0)</f>
        <v>3</v>
      </c>
      <c r="V59" s="131" t="s">
        <v>79</v>
      </c>
      <c r="W59" s="131" t="s">
        <v>79</v>
      </c>
      <c r="X59" s="73">
        <f>IF(H19&lt;18,0,1)</f>
        <v>0</v>
      </c>
      <c r="Y59" s="73" t="str">
        <f>IF(C13="熟練",1,"　")</f>
        <v>　</v>
      </c>
      <c r="Z59" s="132"/>
      <c r="AA59" s="133">
        <f t="shared" si="8"/>
        <v>3</v>
      </c>
      <c r="AB59" s="17"/>
      <c r="AC59" s="74"/>
      <c r="AD59" s="74"/>
      <c r="AE59" s="74"/>
      <c r="AF59" s="74"/>
      <c r="AG59" s="74"/>
      <c r="AH59" s="74"/>
      <c r="AI59" s="74"/>
      <c r="AJ59" s="74"/>
      <c r="AK59" s="16"/>
      <c r="AL59" s="4"/>
      <c r="AM59" s="4"/>
      <c r="AN59" s="4"/>
      <c r="AO59" s="4"/>
      <c r="AP59" s="4"/>
      <c r="AQ59" s="4"/>
      <c r="AR59" s="4"/>
      <c r="AS59" s="4"/>
      <c r="AT59" s="4"/>
      <c r="AU59" s="4"/>
      <c r="AV59" s="4"/>
      <c r="AW59" s="4"/>
      <c r="AX59" s="4"/>
      <c r="AY59" s="15"/>
    </row>
    <row r="60" spans="1:51" ht="13.95" customHeight="1" thickBot="1" x14ac:dyDescent="0.2">
      <c r="A60" s="10"/>
      <c r="B60" s="289"/>
      <c r="C60" s="287"/>
      <c r="D60" s="287"/>
      <c r="E60" s="287"/>
      <c r="F60" s="287"/>
      <c r="G60" s="287"/>
      <c r="H60" s="287"/>
      <c r="I60" s="287"/>
      <c r="J60" s="287"/>
      <c r="K60" s="287"/>
      <c r="L60" s="287"/>
      <c r="M60" s="287"/>
      <c r="N60" s="287"/>
      <c r="O60" s="287"/>
      <c r="P60" s="287"/>
      <c r="Q60" s="288"/>
      <c r="R60" s="10"/>
      <c r="S60" s="13"/>
      <c r="T60" s="13"/>
      <c r="U60" s="13"/>
      <c r="V60" s="13"/>
      <c r="W60" s="13"/>
      <c r="X60" s="13"/>
      <c r="Y60" s="13"/>
      <c r="Z60" s="13"/>
      <c r="AA60" s="13"/>
      <c r="AB60" s="13"/>
      <c r="AC60" s="74"/>
      <c r="AD60" s="74"/>
      <c r="AE60" s="74"/>
      <c r="AF60" s="74"/>
      <c r="AG60" s="74"/>
      <c r="AH60" s="74"/>
      <c r="AI60" s="74"/>
      <c r="AJ60" s="74"/>
      <c r="AK60" s="16"/>
      <c r="AL60" s="4"/>
      <c r="AM60" s="4"/>
      <c r="AN60" s="4"/>
      <c r="AO60" s="4"/>
      <c r="AP60" s="4"/>
      <c r="AQ60" s="4"/>
      <c r="AR60" s="4"/>
      <c r="AS60" s="4"/>
      <c r="AT60" s="4"/>
      <c r="AU60" s="4"/>
      <c r="AV60" s="4"/>
      <c r="AW60" s="4"/>
      <c r="AX60" s="4"/>
      <c r="AY60" s="15"/>
    </row>
    <row r="61" spans="1:51" ht="13.95" customHeight="1" x14ac:dyDescent="0.15">
      <c r="A61" s="10"/>
      <c r="B61" s="289"/>
      <c r="C61" s="287"/>
      <c r="D61" s="287"/>
      <c r="E61" s="287"/>
      <c r="F61" s="287"/>
      <c r="G61" s="287"/>
      <c r="H61" s="287"/>
      <c r="I61" s="287"/>
      <c r="J61" s="287"/>
      <c r="K61" s="287"/>
      <c r="L61" s="287"/>
      <c r="M61" s="287"/>
      <c r="N61" s="287"/>
      <c r="O61" s="287"/>
      <c r="P61" s="287"/>
      <c r="Q61" s="288"/>
      <c r="R61" s="10"/>
      <c r="S61" s="13"/>
      <c r="T61" s="274" t="s">
        <v>164</v>
      </c>
      <c r="U61" s="274"/>
      <c r="V61" s="274"/>
      <c r="W61" s="274"/>
      <c r="X61" s="274"/>
      <c r="Y61" s="274"/>
      <c r="Z61" s="274"/>
      <c r="AA61" s="274"/>
      <c r="AB61" s="17"/>
      <c r="AC61" s="74"/>
      <c r="AD61" s="74"/>
      <c r="AE61" s="74"/>
      <c r="AF61" s="74"/>
      <c r="AG61" s="74"/>
      <c r="AH61" s="74"/>
      <c r="AI61" s="74"/>
      <c r="AJ61" s="74"/>
      <c r="AK61" s="16"/>
      <c r="AL61" s="4"/>
      <c r="AM61" s="4"/>
      <c r="AN61" s="4"/>
      <c r="AO61" s="4"/>
      <c r="AP61" s="4"/>
      <c r="AQ61" s="4"/>
      <c r="AR61" s="4"/>
      <c r="AS61" s="4"/>
      <c r="AT61" s="4"/>
      <c r="AU61" s="4"/>
      <c r="AV61" s="4"/>
      <c r="AW61" s="4"/>
      <c r="AX61" s="4"/>
      <c r="AY61" s="15"/>
    </row>
    <row r="62" spans="1:51" ht="13.95" customHeight="1" x14ac:dyDescent="0.15">
      <c r="A62" s="10"/>
      <c r="B62" s="289"/>
      <c r="C62" s="287"/>
      <c r="D62" s="287"/>
      <c r="E62" s="287"/>
      <c r="F62" s="287"/>
      <c r="G62" s="287"/>
      <c r="H62" s="287"/>
      <c r="I62" s="287"/>
      <c r="J62" s="287"/>
      <c r="K62" s="287"/>
      <c r="L62" s="287"/>
      <c r="M62" s="287"/>
      <c r="N62" s="287"/>
      <c r="O62" s="287"/>
      <c r="P62" s="287"/>
      <c r="Q62" s="288"/>
      <c r="R62" s="10"/>
      <c r="S62" s="13"/>
      <c r="T62" s="275"/>
      <c r="U62" s="275"/>
      <c r="V62" s="134" t="s">
        <v>165</v>
      </c>
      <c r="W62" s="38" t="s">
        <v>166</v>
      </c>
      <c r="X62" s="38" t="s">
        <v>167</v>
      </c>
      <c r="Y62" s="38"/>
      <c r="Z62" s="276" t="s">
        <v>361</v>
      </c>
      <c r="AA62" s="276"/>
      <c r="AB62" s="17"/>
      <c r="AC62" s="74"/>
      <c r="AD62" s="74"/>
      <c r="AE62" s="74"/>
      <c r="AF62" s="74"/>
      <c r="AG62" s="74"/>
      <c r="AH62" s="74"/>
      <c r="AI62" s="74"/>
      <c r="AJ62" s="74"/>
      <c r="AK62" s="16"/>
      <c r="AL62" s="4"/>
      <c r="AM62" s="4"/>
      <c r="AN62" s="4"/>
      <c r="AO62" s="4"/>
      <c r="AP62" s="4"/>
      <c r="AQ62" s="4"/>
      <c r="AR62" s="4"/>
      <c r="AS62" s="4"/>
      <c r="AT62" s="4"/>
      <c r="AU62" s="4"/>
      <c r="AV62" s="4"/>
      <c r="AW62" s="4"/>
      <c r="AX62" s="4"/>
      <c r="AY62" s="15"/>
    </row>
    <row r="63" spans="1:51" ht="13.95" customHeight="1" x14ac:dyDescent="0.15">
      <c r="A63" s="10"/>
      <c r="B63" s="289"/>
      <c r="C63" s="287"/>
      <c r="D63" s="287"/>
      <c r="E63" s="287"/>
      <c r="F63" s="287"/>
      <c r="G63" s="287"/>
      <c r="H63" s="287"/>
      <c r="I63" s="287"/>
      <c r="J63" s="287"/>
      <c r="K63" s="287"/>
      <c r="L63" s="287"/>
      <c r="M63" s="287"/>
      <c r="N63" s="287"/>
      <c r="O63" s="287"/>
      <c r="P63" s="287"/>
      <c r="Q63" s="288"/>
      <c r="R63" s="10"/>
      <c r="S63" s="13"/>
      <c r="T63" s="275" t="s">
        <v>168</v>
      </c>
      <c r="U63" s="275"/>
      <c r="V63" s="38">
        <f>AA10</f>
        <v>5</v>
      </c>
      <c r="W63" s="127">
        <f>ROUNDDOWN((AA11/2),0)</f>
        <v>2</v>
      </c>
      <c r="X63" s="38"/>
      <c r="Y63" s="38"/>
      <c r="Z63" s="269">
        <f>ROUNDDOWN((V63+W63)/2,0)</f>
        <v>3</v>
      </c>
      <c r="AA63" s="269" t="s">
        <v>169</v>
      </c>
      <c r="AB63" s="17"/>
      <c r="AC63" s="74"/>
      <c r="AD63" s="74"/>
      <c r="AE63" s="74"/>
      <c r="AF63" s="74"/>
      <c r="AG63" s="74"/>
      <c r="AH63" s="74"/>
      <c r="AI63" s="74"/>
      <c r="AJ63" s="74"/>
      <c r="AK63" s="17"/>
      <c r="AL63" s="4"/>
      <c r="AM63" s="4"/>
      <c r="AN63" s="4"/>
      <c r="AO63" s="4"/>
      <c r="AP63" s="4"/>
      <c r="AQ63" s="4"/>
      <c r="AR63" s="4"/>
      <c r="AS63" s="4"/>
      <c r="AT63" s="4"/>
      <c r="AU63" s="4"/>
      <c r="AV63" s="4"/>
      <c r="AW63" s="4"/>
      <c r="AX63" s="4"/>
      <c r="AY63" s="15"/>
    </row>
    <row r="64" spans="1:51" ht="13.95" customHeight="1" x14ac:dyDescent="0.15">
      <c r="A64" s="10"/>
      <c r="B64" s="289"/>
      <c r="C64" s="287"/>
      <c r="D64" s="287"/>
      <c r="E64" s="287"/>
      <c r="F64" s="287"/>
      <c r="G64" s="287"/>
      <c r="H64" s="287"/>
      <c r="I64" s="287"/>
      <c r="J64" s="287"/>
      <c r="K64" s="287"/>
      <c r="L64" s="287"/>
      <c r="M64" s="287"/>
      <c r="N64" s="287"/>
      <c r="O64" s="287"/>
      <c r="P64" s="287"/>
      <c r="Q64" s="288"/>
      <c r="R64" s="10"/>
      <c r="S64" s="13"/>
      <c r="T64" s="275" t="s">
        <v>170</v>
      </c>
      <c r="U64" s="275"/>
      <c r="V64" s="38">
        <f>ROUNDDOWN((AA14/2),0)+ROUNDDOWN((AA15/2),0)</f>
        <v>7</v>
      </c>
      <c r="W64" s="38">
        <v>10</v>
      </c>
      <c r="X64" s="38"/>
      <c r="Y64" s="38"/>
      <c r="Z64" s="269">
        <f>ROUNDDOWN((V64+W64)/2,0)</f>
        <v>8</v>
      </c>
      <c r="AA64" s="269" t="s">
        <v>169</v>
      </c>
      <c r="AB64" s="13"/>
      <c r="AC64" s="74"/>
      <c r="AD64" s="74"/>
      <c r="AE64" s="74"/>
      <c r="AF64" s="74"/>
      <c r="AG64" s="74"/>
      <c r="AH64" s="74"/>
      <c r="AI64" s="74"/>
      <c r="AJ64" s="74"/>
      <c r="AK64" s="17"/>
      <c r="AL64" s="4"/>
      <c r="AM64" s="4"/>
      <c r="AN64" s="4"/>
      <c r="AO64" s="4"/>
      <c r="AP64" s="4"/>
      <c r="AQ64" s="4"/>
      <c r="AR64" s="4"/>
      <c r="AS64" s="4"/>
      <c r="AT64" s="4"/>
      <c r="AU64" s="4"/>
      <c r="AV64" s="4"/>
      <c r="AW64" s="4"/>
      <c r="AX64" s="4"/>
      <c r="AY64" s="15"/>
    </row>
    <row r="65" spans="1:51" ht="13.95" customHeight="1" thickBot="1" x14ac:dyDescent="0.2">
      <c r="A65" s="10"/>
      <c r="B65" s="289"/>
      <c r="C65" s="287"/>
      <c r="D65" s="287"/>
      <c r="E65" s="287"/>
      <c r="F65" s="287"/>
      <c r="G65" s="287"/>
      <c r="H65" s="287"/>
      <c r="I65" s="287"/>
      <c r="J65" s="287"/>
      <c r="K65" s="287"/>
      <c r="L65" s="287"/>
      <c r="M65" s="287"/>
      <c r="N65" s="287"/>
      <c r="O65" s="287"/>
      <c r="P65" s="287"/>
      <c r="Q65" s="288"/>
      <c r="R65" s="10"/>
      <c r="S65" s="13"/>
      <c r="T65" s="270" t="s">
        <v>171</v>
      </c>
      <c r="U65" s="270"/>
      <c r="V65" s="73">
        <f>AA58</f>
        <v>12</v>
      </c>
      <c r="W65" s="73">
        <f>ROUNDDOWN((AA55/2),0)</f>
        <v>6</v>
      </c>
      <c r="X65" s="73">
        <v>4</v>
      </c>
      <c r="Y65" s="73"/>
      <c r="Z65" s="271">
        <f>ROUNDDOWN((V65+W65)/2,0)+X65</f>
        <v>13</v>
      </c>
      <c r="AA65" s="271" t="s">
        <v>169</v>
      </c>
      <c r="AB65" s="13"/>
      <c r="AC65" s="74"/>
      <c r="AD65" s="74"/>
      <c r="AE65" s="74"/>
      <c r="AF65" s="74"/>
      <c r="AG65" s="74"/>
      <c r="AH65" s="74"/>
      <c r="AI65" s="74"/>
      <c r="AJ65" s="74"/>
      <c r="AK65" s="17"/>
      <c r="AL65" s="4"/>
      <c r="AM65" s="4"/>
      <c r="AN65" s="4"/>
      <c r="AO65" s="4"/>
      <c r="AP65" s="4"/>
      <c r="AQ65" s="4"/>
      <c r="AR65" s="4"/>
      <c r="AS65" s="4"/>
      <c r="AT65" s="4"/>
      <c r="AU65" s="4"/>
      <c r="AV65" s="4"/>
      <c r="AW65" s="4"/>
      <c r="AX65" s="4"/>
      <c r="AY65" s="15"/>
    </row>
    <row r="66" spans="1:51" ht="13.95" customHeight="1" thickBot="1" x14ac:dyDescent="0.2">
      <c r="A66" s="10"/>
      <c r="B66" s="290"/>
      <c r="C66" s="291"/>
      <c r="D66" s="291"/>
      <c r="E66" s="291"/>
      <c r="F66" s="291"/>
      <c r="G66" s="291"/>
      <c r="H66" s="291"/>
      <c r="I66" s="291"/>
      <c r="J66" s="291"/>
      <c r="K66" s="291"/>
      <c r="L66" s="291"/>
      <c r="M66" s="291"/>
      <c r="N66" s="291"/>
      <c r="O66" s="291"/>
      <c r="P66" s="291"/>
      <c r="Q66" s="292"/>
      <c r="R66" s="10"/>
      <c r="S66" s="13"/>
      <c r="T66" s="13"/>
      <c r="U66" s="13"/>
      <c r="V66" s="13"/>
      <c r="W66" s="13"/>
      <c r="X66" s="13"/>
      <c r="Y66" s="13"/>
      <c r="Z66" s="13"/>
      <c r="AA66" s="13"/>
      <c r="AB66" s="13"/>
      <c r="AC66" s="74"/>
      <c r="AD66" s="74"/>
      <c r="AE66" s="74"/>
      <c r="AF66" s="74"/>
      <c r="AG66" s="74"/>
      <c r="AH66" s="74"/>
      <c r="AI66" s="74"/>
      <c r="AJ66" s="74"/>
      <c r="AK66" s="74"/>
      <c r="AL66" s="4"/>
      <c r="AM66" s="4"/>
      <c r="AN66" s="4"/>
      <c r="AO66" s="4"/>
      <c r="AP66" s="4"/>
      <c r="AQ66" s="4"/>
      <c r="AR66" s="4"/>
      <c r="AS66" s="4"/>
      <c r="AT66" s="4"/>
      <c r="AU66" s="4"/>
      <c r="AV66" s="4"/>
      <c r="AW66" s="4"/>
      <c r="AX66" s="4"/>
      <c r="AY66" s="15"/>
    </row>
    <row r="67" spans="1:51" ht="13.95"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s="4"/>
      <c r="AM67" s="4"/>
      <c r="AN67" s="4"/>
      <c r="AO67" s="4"/>
      <c r="AP67" s="4"/>
      <c r="AQ67" s="4"/>
      <c r="AR67" s="4"/>
      <c r="AS67" s="4"/>
      <c r="AT67" s="4"/>
      <c r="AU67" s="4"/>
      <c r="AV67" s="4"/>
      <c r="AW67" s="4"/>
      <c r="AX67" s="4"/>
      <c r="AY67" s="15"/>
    </row>
    <row r="68" spans="1:51" ht="13.95"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s="4"/>
      <c r="AM68" s="4"/>
      <c r="AN68" s="4"/>
      <c r="AO68" s="4"/>
      <c r="AP68" s="4"/>
      <c r="AQ68" s="4"/>
      <c r="AR68" s="4"/>
      <c r="AS68" s="4"/>
      <c r="AT68" s="4"/>
      <c r="AU68" s="4"/>
      <c r="AV68" s="4"/>
      <c r="AW68" s="4"/>
      <c r="AX68" s="4"/>
      <c r="AY68" s="15"/>
    </row>
  </sheetData>
  <sheetProtection selectLockedCells="1" selectUnlockedCells="1"/>
  <mergeCells count="262">
    <mergeCell ref="B2:I2"/>
    <mergeCell ref="J2:L2"/>
    <mergeCell ref="N2:Q2"/>
    <mergeCell ref="T2:AA2"/>
    <mergeCell ref="B3:I4"/>
    <mergeCell ref="J3:L4"/>
    <mergeCell ref="N3:O3"/>
    <mergeCell ref="P3:Q3"/>
    <mergeCell ref="AC3:AE3"/>
    <mergeCell ref="T6:U6"/>
    <mergeCell ref="AC6:AD6"/>
    <mergeCell ref="AG3:AI3"/>
    <mergeCell ref="N4:O4"/>
    <mergeCell ref="P4:Q4"/>
    <mergeCell ref="AC4:AD4"/>
    <mergeCell ref="AG4:AH4"/>
    <mergeCell ref="B5:C5"/>
    <mergeCell ref="D5:E5"/>
    <mergeCell ref="F5:G5"/>
    <mergeCell ref="H5:I5"/>
    <mergeCell ref="J5:L5"/>
    <mergeCell ref="N5:O5"/>
    <mergeCell ref="P5:Q5"/>
    <mergeCell ref="AC5:AD5"/>
    <mergeCell ref="AG5:AH5"/>
    <mergeCell ref="AG6:AH6"/>
    <mergeCell ref="AC7:AD7"/>
    <mergeCell ref="AG7:AH7"/>
    <mergeCell ref="K8:L8"/>
    <mergeCell ref="N8:O8"/>
    <mergeCell ref="P8:Q8"/>
    <mergeCell ref="T8:Z8"/>
    <mergeCell ref="AC8:AD8"/>
    <mergeCell ref="AG8:AH8"/>
    <mergeCell ref="B6:C6"/>
    <mergeCell ref="D6:E6"/>
    <mergeCell ref="F6:G6"/>
    <mergeCell ref="H6:I6"/>
    <mergeCell ref="J6:L6"/>
    <mergeCell ref="N6:O6"/>
    <mergeCell ref="B7:C8"/>
    <mergeCell ref="D7:I8"/>
    <mergeCell ref="K7:L7"/>
    <mergeCell ref="N7:O7"/>
    <mergeCell ref="P7:Q7"/>
    <mergeCell ref="T7:U7"/>
    <mergeCell ref="V7:W7"/>
    <mergeCell ref="X7:Y7"/>
    <mergeCell ref="Z7:AA7"/>
    <mergeCell ref="P6:Q6"/>
    <mergeCell ref="AC9:AD9"/>
    <mergeCell ref="AG9:AH9"/>
    <mergeCell ref="B10:B11"/>
    <mergeCell ref="C10:D11"/>
    <mergeCell ref="E10:E11"/>
    <mergeCell ref="F10:G11"/>
    <mergeCell ref="J10:Q10"/>
    <mergeCell ref="J11:K12"/>
    <mergeCell ref="L11:M11"/>
    <mergeCell ref="N11:O11"/>
    <mergeCell ref="P11:Q11"/>
    <mergeCell ref="L12:M12"/>
    <mergeCell ref="N12:O12"/>
    <mergeCell ref="P12:Q12"/>
    <mergeCell ref="AC12:AJ12"/>
    <mergeCell ref="AH18:AJ18"/>
    <mergeCell ref="AE13:AF13"/>
    <mergeCell ref="B13:B14"/>
    <mergeCell ref="C13:D14"/>
    <mergeCell ref="E13:E14"/>
    <mergeCell ref="F13:G14"/>
    <mergeCell ref="J13:N13"/>
    <mergeCell ref="AC22:AD22"/>
    <mergeCell ref="AE22:AG22"/>
    <mergeCell ref="AE20:AG20"/>
    <mergeCell ref="AH20:AJ20"/>
    <mergeCell ref="AE18:AG18"/>
    <mergeCell ref="AC17:AJ17"/>
    <mergeCell ref="F18:G18"/>
    <mergeCell ref="AC18:AD18"/>
    <mergeCell ref="AG13:AH13"/>
    <mergeCell ref="J14:N33"/>
    <mergeCell ref="O14:P14"/>
    <mergeCell ref="AE14:AF14"/>
    <mergeCell ref="AG14:AH14"/>
    <mergeCell ref="AE19:AG19"/>
    <mergeCell ref="AH19:AJ19"/>
    <mergeCell ref="B21:C22"/>
    <mergeCell ref="D21:D22"/>
    <mergeCell ref="F20:G20"/>
    <mergeCell ref="AC20:AD20"/>
    <mergeCell ref="B16:D16"/>
    <mergeCell ref="F16:H16"/>
    <mergeCell ref="B17:C18"/>
    <mergeCell ref="D17:D18"/>
    <mergeCell ref="F17:G17"/>
    <mergeCell ref="B19:C20"/>
    <mergeCell ref="D19:D20"/>
    <mergeCell ref="F19:G19"/>
    <mergeCell ref="U19:W20"/>
    <mergeCell ref="X19:Z20"/>
    <mergeCell ref="AC19:AD19"/>
    <mergeCell ref="B23:C24"/>
    <mergeCell ref="D23:D24"/>
    <mergeCell ref="F23:G23"/>
    <mergeCell ref="AC23:AD23"/>
    <mergeCell ref="AE23:AG23"/>
    <mergeCell ref="AH23:AJ23"/>
    <mergeCell ref="AC21:AD21"/>
    <mergeCell ref="AE21:AG21"/>
    <mergeCell ref="AH21:AJ21"/>
    <mergeCell ref="AH22:AJ22"/>
    <mergeCell ref="T22:Y22"/>
    <mergeCell ref="F22:G22"/>
    <mergeCell ref="F21:G21"/>
    <mergeCell ref="B30:D30"/>
    <mergeCell ref="F30:H30"/>
    <mergeCell ref="O30:Q30"/>
    <mergeCell ref="AC30:AD30"/>
    <mergeCell ref="AE30:AJ30"/>
    <mergeCell ref="H25:H26"/>
    <mergeCell ref="B27:C28"/>
    <mergeCell ref="D27:D28"/>
    <mergeCell ref="F27:G28"/>
    <mergeCell ref="H27:H28"/>
    <mergeCell ref="B25:C26"/>
    <mergeCell ref="D25:D26"/>
    <mergeCell ref="F25:G26"/>
    <mergeCell ref="AE31:AJ31"/>
    <mergeCell ref="O32:Q32"/>
    <mergeCell ref="AC32:AD32"/>
    <mergeCell ref="AE32:AJ32"/>
    <mergeCell ref="O27:Q27"/>
    <mergeCell ref="AC27:AJ27"/>
    <mergeCell ref="O28:Q28"/>
    <mergeCell ref="O29:Q29"/>
    <mergeCell ref="AC29:AD29"/>
    <mergeCell ref="AE29:AJ29"/>
    <mergeCell ref="G33:G34"/>
    <mergeCell ref="H33:H34"/>
    <mergeCell ref="O33:Q33"/>
    <mergeCell ref="T33:AA34"/>
    <mergeCell ref="AC33:AD33"/>
    <mergeCell ref="B31:B32"/>
    <mergeCell ref="C31:C32"/>
    <mergeCell ref="D31:D32"/>
    <mergeCell ref="F31:F32"/>
    <mergeCell ref="G31:G32"/>
    <mergeCell ref="H31:H32"/>
    <mergeCell ref="O31:Q31"/>
    <mergeCell ref="AC31:AD31"/>
    <mergeCell ref="AE33:AJ33"/>
    <mergeCell ref="J34:N34"/>
    <mergeCell ref="O34:Q34"/>
    <mergeCell ref="AC34:AD34"/>
    <mergeCell ref="AE34:AJ34"/>
    <mergeCell ref="B35:B36"/>
    <mergeCell ref="C35:C36"/>
    <mergeCell ref="D35:D36"/>
    <mergeCell ref="F35:F36"/>
    <mergeCell ref="G35:G36"/>
    <mergeCell ref="H35:H36"/>
    <mergeCell ref="J35:N36"/>
    <mergeCell ref="O35:P35"/>
    <mergeCell ref="T35:W36"/>
    <mergeCell ref="X35:AA35"/>
    <mergeCell ref="AC35:AD35"/>
    <mergeCell ref="AE35:AJ35"/>
    <mergeCell ref="O36:P36"/>
    <mergeCell ref="AC36:AD36"/>
    <mergeCell ref="AE36:AJ36"/>
    <mergeCell ref="B33:B34"/>
    <mergeCell ref="C33:C34"/>
    <mergeCell ref="D33:D34"/>
    <mergeCell ref="F33:F34"/>
    <mergeCell ref="T37:U37"/>
    <mergeCell ref="AC37:AD37"/>
    <mergeCell ref="AE37:AJ37"/>
    <mergeCell ref="B38:I38"/>
    <mergeCell ref="J38:Q38"/>
    <mergeCell ref="T38:U38"/>
    <mergeCell ref="AC38:AD38"/>
    <mergeCell ref="AE38:AJ38"/>
    <mergeCell ref="J39:Q41"/>
    <mergeCell ref="T39:U39"/>
    <mergeCell ref="AC39:AD39"/>
    <mergeCell ref="B41:D41"/>
    <mergeCell ref="E41:G41"/>
    <mergeCell ref="H41:I41"/>
    <mergeCell ref="X41:Z41"/>
    <mergeCell ref="AE39:AJ39"/>
    <mergeCell ref="B40:D40"/>
    <mergeCell ref="E40:G40"/>
    <mergeCell ref="H40:I40"/>
    <mergeCell ref="T40:U40"/>
    <mergeCell ref="AC40:AD40"/>
    <mergeCell ref="AE40:AJ40"/>
    <mergeCell ref="B39:D39"/>
    <mergeCell ref="E39:G39"/>
    <mergeCell ref="H39:I39"/>
    <mergeCell ref="H44:I44"/>
    <mergeCell ref="AC44:AC46"/>
    <mergeCell ref="AD44:AF46"/>
    <mergeCell ref="AC41:AD41"/>
    <mergeCell ref="AE41:AJ41"/>
    <mergeCell ref="B42:D42"/>
    <mergeCell ref="E42:G42"/>
    <mergeCell ref="H42:I42"/>
    <mergeCell ref="J42:Q42"/>
    <mergeCell ref="X42:Z42"/>
    <mergeCell ref="AG45:AG46"/>
    <mergeCell ref="AH45:AH46"/>
    <mergeCell ref="AI45:AI46"/>
    <mergeCell ref="B43:D43"/>
    <mergeCell ref="E43:G43"/>
    <mergeCell ref="H43:I43"/>
    <mergeCell ref="J43:Q51"/>
    <mergeCell ref="AC43:AJ43"/>
    <mergeCell ref="B44:D44"/>
    <mergeCell ref="E44:G44"/>
    <mergeCell ref="H47:I47"/>
    <mergeCell ref="T47:AA47"/>
    <mergeCell ref="AD47:AF47"/>
    <mergeCell ref="B45:D45"/>
    <mergeCell ref="E45:G45"/>
    <mergeCell ref="H45:I45"/>
    <mergeCell ref="B49:D49"/>
    <mergeCell ref="E49:G49"/>
    <mergeCell ref="H49:I49"/>
    <mergeCell ref="AD49:AF49"/>
    <mergeCell ref="AJ45:AJ46"/>
    <mergeCell ref="B46:D46"/>
    <mergeCell ref="E46:G46"/>
    <mergeCell ref="H46:I46"/>
    <mergeCell ref="B47:D47"/>
    <mergeCell ref="E47:G47"/>
    <mergeCell ref="AD50:AF50"/>
    <mergeCell ref="B51:D51"/>
    <mergeCell ref="E51:G51"/>
    <mergeCell ref="H51:I51"/>
    <mergeCell ref="AD51:AF51"/>
    <mergeCell ref="B48:D48"/>
    <mergeCell ref="E48:G48"/>
    <mergeCell ref="H48:I48"/>
    <mergeCell ref="V48:W48"/>
    <mergeCell ref="AD48:AF48"/>
    <mergeCell ref="B50:D50"/>
    <mergeCell ref="E50:G50"/>
    <mergeCell ref="H50:I50"/>
    <mergeCell ref="Z64:AA64"/>
    <mergeCell ref="T65:U65"/>
    <mergeCell ref="Z65:AA65"/>
    <mergeCell ref="B52:Q52"/>
    <mergeCell ref="AD52:AF52"/>
    <mergeCell ref="T61:AA61"/>
    <mergeCell ref="T62:U62"/>
    <mergeCell ref="Z62:AA62"/>
    <mergeCell ref="B53:Q55"/>
    <mergeCell ref="B56:Q66"/>
    <mergeCell ref="T63:U63"/>
    <mergeCell ref="Z63:AA63"/>
    <mergeCell ref="T64:U64"/>
  </mergeCells>
  <phoneticPr fontId="53"/>
  <dataValidations count="5">
    <dataValidation operator="equal" allowBlank="1" showErrorMessage="1" sqref="V7:W7" xr:uid="{00000000-0002-0000-0100-000000000000}"/>
    <dataValidation operator="equal" sqref="Z7:AA7 D7:I7 E8:I8" xr:uid="{00000000-0002-0000-0100-000001000000}"/>
    <dataValidation operator="equal" allowBlank="1" sqref="H40:I51" xr:uid="{00000000-0002-0000-0100-000002000000}"/>
    <dataValidation type="list" operator="equal" allowBlank="1" sqref="J35:N35 K36:N36" xr:uid="{00000000-0002-0000-0100-000003000000}">
      <formula1>"－,秩序にして善,秩序にして中立,秩序にして悪,中立にして善,真なる中立,中立にして悪,混沌にして善,混沌にして中立,混沌にして悪"</formula1>
      <formula2>0</formula2>
    </dataValidation>
    <dataValidation type="list" operator="equal" allowBlank="1" sqref="P13:Q13" xr:uid="{00000000-0002-0000-0100-000004000000}">
      <formula1>"-,力技,威圧,観察眼,察知,知識,技術,隠密,俊敏,話術,読心,閃き,幸運"</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extLst>
    <ext xmlns:x14="http://schemas.microsoft.com/office/spreadsheetml/2009/9/main" uri="{CCE6A557-97BC-4b89-ADB6-D9C93CAAB3DF}">
      <x14:dataValidations xmlns:xm="http://schemas.microsoft.com/office/excel/2006/main" count="17">
        <x14:dataValidation type="list" operator="equal" xr:uid="{00000000-0002-0000-0100-000005000000}">
          <x14:formula1>
            <xm:f>リスト!$F$2:$F$8</xm:f>
          </x14:formula1>
          <x14:formula2>
            <xm:f>0</xm:f>
          </x14:formula2>
          <xm:sqref>F10:G10</xm:sqref>
        </x14:dataValidation>
        <x14:dataValidation type="list" operator="equal" allowBlank="1" xr:uid="{00000000-0002-0000-0100-000006000000}">
          <x14:formula1>
            <xm:f>リスト!$T$2:$T$8</xm:f>
          </x14:formula1>
          <x14:formula2>
            <xm:f>0</xm:f>
          </x14:formula2>
          <xm:sqref>H6:I6</xm:sqref>
        </x14:dataValidation>
        <x14:dataValidation type="list" operator="equal" xr:uid="{00000000-0002-0000-0100-000007000000}">
          <x14:formula1>
            <xm:f>リスト!$H$2:$H$6</xm:f>
          </x14:formula1>
          <x14:formula2>
            <xm:f>0</xm:f>
          </x14:formula2>
          <xm:sqref>K8:L8</xm:sqref>
        </x14:dataValidation>
        <x14:dataValidation type="list" operator="equal" xr:uid="{00000000-0002-0000-0100-000008000000}">
          <x14:formula1>
            <xm:f>リスト!$M$2:$M$6</xm:f>
          </x14:formula1>
          <x14:formula2>
            <xm:f>0</xm:f>
          </x14:formula2>
          <xm:sqref>Q3 L7</xm:sqref>
        </x14:dataValidation>
        <x14:dataValidation type="list" operator="equal" allowBlank="1" showErrorMessage="1" xr:uid="{00000000-0002-0000-0100-000009000000}">
          <x14:formula1>
            <xm:f>リスト!$A$2:$A$8</xm:f>
          </x14:formula1>
          <x14:formula2>
            <xm:f>0</xm:f>
          </x14:formula2>
          <xm:sqref>C10:D10</xm:sqref>
        </x14:dataValidation>
        <x14:dataValidation type="list" operator="equal" allowBlank="1" xr:uid="{00000000-0002-0000-0100-00000A000000}">
          <x14:formula1>
            <xm:f>リスト!$AN$2:$AN$38</xm:f>
          </x14:formula1>
          <x14:formula2>
            <xm:f>0</xm:f>
          </x14:formula2>
          <xm:sqref>L11:M12 J12</xm:sqref>
        </x14:dataValidation>
        <x14:dataValidation type="list" operator="equal" allowBlank="1" xr:uid="{00000000-0002-0000-0100-00000B000000}">
          <x14:formula1>
            <xm:f>リスト!$AP$2:$AP$74</xm:f>
          </x14:formula1>
          <x14:formula2>
            <xm:f>0</xm:f>
          </x14:formula2>
          <xm:sqref>P11:P12</xm:sqref>
        </x14:dataValidation>
        <x14:dataValidation type="list" operator="equal" allowBlank="1" xr:uid="{00000000-0002-0000-0100-00000C000000}">
          <x14:formula1>
            <xm:f>リスト!$C$2:$C$7</xm:f>
          </x14:formula1>
          <x14:formula2>
            <xm:f>0</xm:f>
          </x14:formula2>
          <xm:sqref>F13:G13 G14</xm:sqref>
        </x14:dataValidation>
        <x14:dataValidation type="list" operator="equal" allowBlank="1" xr:uid="{00000000-0002-0000-0100-00000D000000}">
          <x14:formula1>
            <xm:f>リスト!$K$2:$K$33</xm:f>
          </x14:formula1>
          <x14:formula2>
            <xm:f>0</xm:f>
          </x14:formula2>
          <xm:sqref>D13:D14</xm:sqref>
        </x14:dataValidation>
        <x14:dataValidation type="list" operator="equal" allowBlank="1" xr:uid="{00000000-0002-0000-0100-00000E000000}">
          <x14:formula1>
            <xm:f>リスト!$C$22:$C$27</xm:f>
          </x14:formula1>
          <x14:formula2>
            <xm:f>0</xm:f>
          </x14:formula2>
          <xm:sqref>P4:Q5 Q6 Q12</xm:sqref>
        </x14:dataValidation>
        <x14:dataValidation type="list" operator="equal" xr:uid="{00000000-0002-0000-0100-00000F000000}">
          <x14:formula1>
            <xm:f>リスト!$AR$2:$AR$58</xm:f>
          </x14:formula1>
          <x14:formula2>
            <xm:f>0</xm:f>
          </x14:formula2>
          <xm:sqref>J6:L6 Q11</xm:sqref>
        </x14:dataValidation>
        <x14:dataValidation type="list" operator="equal" allowBlank="1" xr:uid="{00000000-0002-0000-0100-000010000000}">
          <x14:formula1>
            <xm:f>リスト!$C$13:$C$19</xm:f>
          </x14:formula1>
          <x14:formula2>
            <xm:f>0</xm:f>
          </x14:formula2>
          <xm:sqref>P3</xm:sqref>
        </x14:dataValidation>
        <x14:dataValidation type="list" operator="equal" allowBlank="1" xr:uid="{00000000-0002-0000-0100-000011000000}">
          <x14:formula1>
            <xm:f>リスト!$AU$2:$AU$8</xm:f>
          </x14:formula1>
          <x14:formula2>
            <xm:f>0</xm:f>
          </x14:formula2>
          <xm:sqref>P6:P8 N7:Q8</xm:sqref>
        </x14:dataValidation>
        <x14:dataValidation type="list" operator="equal" allowBlank="1" xr:uid="{00000000-0002-0000-0100-000012000000}">
          <x14:formula1>
            <xm:f>リスト!$K$2:$K$24</xm:f>
          </x14:formula1>
          <x14:formula2>
            <xm:f>0</xm:f>
          </x14:formula2>
          <xm:sqref>C13</xm:sqref>
        </x14:dataValidation>
        <x14:dataValidation type="list" operator="equal" allowBlank="1" xr:uid="{00000000-0002-0000-0100-000013000000}">
          <x14:formula1>
            <xm:f>リスト!$AH$2:$AH$37</xm:f>
          </x14:formula1>
          <x14:formula2>
            <xm:f>0</xm:f>
          </x14:formula2>
          <xm:sqref>B40:D51</xm:sqref>
        </x14:dataValidation>
        <x14:dataValidation type="list" operator="equal" allowBlank="1" xr:uid="{00000000-0002-0000-0100-000014000000}">
          <x14:formula1>
            <xm:f>リスト!$AY$2:$AY$25</xm:f>
          </x14:formula1>
          <x14:formula2>
            <xm:f>0</xm:f>
          </x14:formula2>
          <xm:sqref>E40:G49</xm:sqref>
        </x14:dataValidation>
        <x14:dataValidation type="list" operator="equal" xr:uid="{00000000-0002-0000-0100-000015000000}">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5"/>
  <sheetViews>
    <sheetView zoomScale="55" zoomScaleNormal="55" workbookViewId="0">
      <selection activeCell="J86" sqref="J86:J87"/>
    </sheetView>
  </sheetViews>
  <sheetFormatPr defaultColWidth="10.109375" defaultRowHeight="13.95" customHeight="1" x14ac:dyDescent="0.15"/>
  <cols>
    <col min="1" max="16384" width="10.109375" style="135"/>
  </cols>
  <sheetData>
    <row r="1" spans="1:31" ht="13.95" customHeight="1" x14ac:dyDescent="0.15">
      <c r="A1" s="136"/>
      <c r="B1" s="136"/>
      <c r="C1" s="136"/>
      <c r="D1" s="136"/>
      <c r="E1" s="136"/>
      <c r="F1" s="136"/>
      <c r="G1" s="136"/>
      <c r="H1" s="136"/>
      <c r="I1" s="136"/>
      <c r="J1" s="136"/>
      <c r="K1" s="136"/>
      <c r="L1" s="17"/>
      <c r="M1" s="17"/>
      <c r="N1" s="17"/>
      <c r="O1" s="17"/>
      <c r="P1" s="17"/>
      <c r="Q1" s="17"/>
      <c r="R1" s="17"/>
      <c r="S1" s="17"/>
      <c r="T1" s="17"/>
      <c r="U1" s="17"/>
      <c r="V1" s="17"/>
    </row>
    <row r="2" spans="1:31" ht="13.95" customHeight="1" x14ac:dyDescent="0.15">
      <c r="A2" s="136"/>
      <c r="B2" s="437" t="s">
        <v>172</v>
      </c>
      <c r="C2" s="437"/>
      <c r="D2" s="437"/>
      <c r="E2" s="437"/>
      <c r="F2" s="437"/>
      <c r="G2" s="437"/>
      <c r="H2" s="437"/>
      <c r="I2" s="437"/>
      <c r="J2" s="437"/>
      <c r="K2" s="136"/>
      <c r="L2" s="17"/>
      <c r="M2" s="337" t="s">
        <v>173</v>
      </c>
      <c r="N2" s="337"/>
      <c r="O2" s="337"/>
      <c r="P2" s="337"/>
      <c r="Q2" s="337"/>
      <c r="R2" s="337"/>
      <c r="S2" s="337"/>
      <c r="T2" s="337"/>
      <c r="U2" s="337"/>
      <c r="V2" s="17"/>
      <c r="W2" s="4"/>
      <c r="X2" s="4"/>
      <c r="Y2" s="4"/>
      <c r="Z2" s="4"/>
    </row>
    <row r="3" spans="1:31" ht="13.95" customHeight="1" x14ac:dyDescent="0.15">
      <c r="A3" s="136"/>
      <c r="B3" s="437"/>
      <c r="C3" s="437"/>
      <c r="D3" s="437"/>
      <c r="E3" s="437"/>
      <c r="F3" s="437"/>
      <c r="G3" s="437"/>
      <c r="H3" s="437"/>
      <c r="I3" s="437"/>
      <c r="J3" s="437"/>
      <c r="K3" s="136"/>
      <c r="L3" s="17"/>
      <c r="M3" s="337"/>
      <c r="N3" s="337"/>
      <c r="O3" s="337"/>
      <c r="P3" s="337"/>
      <c r="Q3" s="337"/>
      <c r="R3" s="337"/>
      <c r="S3" s="337"/>
      <c r="T3" s="337"/>
      <c r="U3" s="337"/>
      <c r="V3" s="17"/>
      <c r="W3" s="4"/>
      <c r="X3" s="4"/>
      <c r="Y3" s="4"/>
      <c r="Z3" s="4"/>
    </row>
    <row r="4" spans="1:31" ht="13.95" customHeight="1" x14ac:dyDescent="0.15">
      <c r="A4" s="136"/>
      <c r="B4" s="438" t="s">
        <v>103</v>
      </c>
      <c r="C4" s="438"/>
      <c r="D4" s="439">
        <f>キャラシート!H27</f>
        <v>3</v>
      </c>
      <c r="E4" s="440" t="s">
        <v>174</v>
      </c>
      <c r="F4" s="440"/>
      <c r="G4" s="439">
        <f>ROUNDDOWN((キャラシート!H25)/2,0)</f>
        <v>6</v>
      </c>
      <c r="H4" s="440" t="s">
        <v>175</v>
      </c>
      <c r="I4" s="440"/>
      <c r="J4" s="441">
        <f>ROUNDDOWN((キャラシート!H25)/3,0)</f>
        <v>4</v>
      </c>
      <c r="K4" s="136"/>
      <c r="L4" s="17"/>
      <c r="M4" s="337"/>
      <c r="N4" s="337"/>
      <c r="O4" s="337"/>
      <c r="P4" s="337"/>
      <c r="Q4" s="337"/>
      <c r="R4" s="337"/>
      <c r="S4" s="337"/>
      <c r="T4" s="337"/>
      <c r="U4" s="337"/>
      <c r="V4" s="17"/>
    </row>
    <row r="5" spans="1:31" ht="13.95" customHeight="1" x14ac:dyDescent="0.15">
      <c r="A5" s="137"/>
      <c r="B5" s="438"/>
      <c r="C5" s="438"/>
      <c r="D5" s="439"/>
      <c r="E5" s="440"/>
      <c r="F5" s="440"/>
      <c r="G5" s="439"/>
      <c r="H5" s="440"/>
      <c r="I5" s="440"/>
      <c r="J5" s="441"/>
      <c r="K5" s="136"/>
      <c r="L5" s="17"/>
      <c r="M5" s="337"/>
      <c r="N5" s="337"/>
      <c r="O5" s="337"/>
      <c r="P5" s="337"/>
      <c r="Q5" s="337"/>
      <c r="R5" s="337"/>
      <c r="S5" s="337"/>
      <c r="T5" s="337"/>
      <c r="U5" s="337"/>
      <c r="V5" s="17"/>
    </row>
    <row r="6" spans="1:31" ht="13.95" customHeight="1" x14ac:dyDescent="0.15">
      <c r="A6" s="137"/>
      <c r="B6" s="137"/>
      <c r="C6" s="137"/>
      <c r="D6" s="137"/>
      <c r="E6" s="137"/>
      <c r="F6" s="137"/>
      <c r="G6" s="137"/>
      <c r="H6" s="137"/>
      <c r="I6" s="137"/>
      <c r="J6" s="137"/>
      <c r="K6" s="136"/>
      <c r="L6" s="17"/>
      <c r="M6" s="17"/>
      <c r="N6" s="17"/>
      <c r="O6" s="17"/>
      <c r="P6" s="17"/>
      <c r="Q6" s="17"/>
      <c r="R6" s="17"/>
      <c r="S6" s="17"/>
      <c r="T6" s="17"/>
      <c r="U6" s="17"/>
      <c r="V6" s="17"/>
    </row>
    <row r="7" spans="1:31" ht="13.95" customHeight="1" x14ac:dyDescent="0.15">
      <c r="A7" s="136"/>
      <c r="B7" s="136"/>
      <c r="C7" s="136"/>
      <c r="D7" s="136"/>
      <c r="E7" s="136"/>
      <c r="F7" s="136"/>
      <c r="G7" s="136"/>
      <c r="H7" s="136"/>
      <c r="I7" s="136"/>
      <c r="J7" s="136"/>
      <c r="K7" s="136"/>
      <c r="L7" s="17"/>
      <c r="M7" s="17"/>
      <c r="N7" s="17"/>
      <c r="O7" s="17"/>
      <c r="P7" s="17"/>
      <c r="Q7" s="17"/>
      <c r="R7" s="17"/>
      <c r="S7" s="17"/>
      <c r="T7" s="17"/>
      <c r="U7" s="17"/>
      <c r="V7" s="17"/>
    </row>
    <row r="8" spans="1:31" ht="13.95" customHeight="1" x14ac:dyDescent="0.15">
      <c r="A8" s="136"/>
      <c r="B8" s="429" t="s">
        <v>176</v>
      </c>
      <c r="C8" s="429"/>
      <c r="D8" s="429"/>
      <c r="E8" s="429"/>
      <c r="F8" s="429"/>
      <c r="G8" s="138" t="s">
        <v>177</v>
      </c>
      <c r="H8" s="139" t="s">
        <v>448</v>
      </c>
      <c r="I8" s="139" t="s">
        <v>178</v>
      </c>
      <c r="J8" s="140" t="s">
        <v>179</v>
      </c>
      <c r="K8" s="137"/>
      <c r="L8" s="17"/>
      <c r="M8" s="429" t="s">
        <v>176</v>
      </c>
      <c r="N8" s="429"/>
      <c r="O8" s="429"/>
      <c r="P8" s="429"/>
      <c r="Q8" s="429"/>
      <c r="R8" s="430" t="s">
        <v>180</v>
      </c>
      <c r="S8" s="430"/>
      <c r="T8" s="138" t="s">
        <v>177</v>
      </c>
      <c r="U8" s="141" t="s">
        <v>178</v>
      </c>
      <c r="V8" s="17"/>
      <c r="W8" s="4"/>
      <c r="X8" s="4"/>
      <c r="Y8" s="4"/>
      <c r="Z8" s="4"/>
      <c r="AA8" s="4"/>
      <c r="AB8" s="4"/>
      <c r="AC8" s="4"/>
      <c r="AD8" s="4"/>
      <c r="AE8" s="4"/>
    </row>
    <row r="9" spans="1:31" ht="13.95" customHeight="1" x14ac:dyDescent="0.15">
      <c r="A9" s="136"/>
      <c r="B9" s="431" t="s">
        <v>125</v>
      </c>
      <c r="C9" s="431"/>
      <c r="D9" s="431"/>
      <c r="E9" s="431"/>
      <c r="F9" s="431"/>
      <c r="G9" s="419" t="s">
        <v>129</v>
      </c>
      <c r="H9" s="432" t="s">
        <v>465</v>
      </c>
      <c r="I9" s="433">
        <v>1</v>
      </c>
      <c r="J9" s="434">
        <v>1</v>
      </c>
      <c r="K9" s="136"/>
      <c r="L9" s="17"/>
      <c r="M9" s="435" t="s">
        <v>51</v>
      </c>
      <c r="N9" s="435"/>
      <c r="O9" s="435"/>
      <c r="P9" s="435"/>
      <c r="Q9" s="435"/>
      <c r="R9" s="436" t="s">
        <v>429</v>
      </c>
      <c r="S9" s="436"/>
      <c r="T9" s="419" t="s">
        <v>985</v>
      </c>
      <c r="U9" s="420"/>
      <c r="V9" s="17"/>
      <c r="W9" s="4"/>
      <c r="X9" s="4"/>
      <c r="Y9" s="4"/>
      <c r="Z9" s="4"/>
      <c r="AA9" s="4"/>
      <c r="AB9" s="4"/>
      <c r="AC9" s="4"/>
      <c r="AD9" s="4"/>
      <c r="AE9" s="4"/>
    </row>
    <row r="10" spans="1:31" ht="13.95" customHeight="1" x14ac:dyDescent="0.15">
      <c r="A10" s="137"/>
      <c r="B10" s="431"/>
      <c r="C10" s="431"/>
      <c r="D10" s="431"/>
      <c r="E10" s="431"/>
      <c r="F10" s="431"/>
      <c r="G10" s="419"/>
      <c r="H10" s="432"/>
      <c r="I10" s="433"/>
      <c r="J10" s="434"/>
      <c r="K10" s="137"/>
      <c r="L10" s="17"/>
      <c r="M10" s="435"/>
      <c r="N10" s="435"/>
      <c r="O10" s="435"/>
      <c r="P10" s="435"/>
      <c r="Q10" s="435"/>
      <c r="R10" s="436"/>
      <c r="S10" s="436"/>
      <c r="T10" s="419"/>
      <c r="U10" s="420"/>
      <c r="V10" s="17"/>
    </row>
    <row r="11" spans="1:31" ht="13.95" customHeight="1" x14ac:dyDescent="0.15">
      <c r="A11" s="136"/>
      <c r="B11" s="421" t="s">
        <v>709</v>
      </c>
      <c r="C11" s="421"/>
      <c r="D11" s="421"/>
      <c r="E11" s="422" t="s">
        <v>710</v>
      </c>
      <c r="F11" s="422"/>
      <c r="G11" s="422"/>
      <c r="H11" s="423" t="s">
        <v>711</v>
      </c>
      <c r="I11" s="423"/>
      <c r="J11" s="423"/>
      <c r="K11" s="136"/>
      <c r="L11" s="17"/>
      <c r="M11" s="435"/>
      <c r="N11" s="435"/>
      <c r="O11" s="435"/>
      <c r="P11" s="435"/>
      <c r="Q11" s="435"/>
      <c r="R11" s="436"/>
      <c r="S11" s="436"/>
      <c r="T11" s="419"/>
      <c r="U11" s="420"/>
      <c r="V11" s="17"/>
    </row>
    <row r="12" spans="1:31" ht="13.95" customHeight="1" x14ac:dyDescent="0.15">
      <c r="A12" s="137"/>
      <c r="B12" s="425" t="s">
        <v>740</v>
      </c>
      <c r="C12" s="426" t="s">
        <v>985</v>
      </c>
      <c r="D12" s="426" t="s">
        <v>985</v>
      </c>
      <c r="E12" s="143" t="s">
        <v>985</v>
      </c>
      <c r="F12" s="143" t="s">
        <v>985</v>
      </c>
      <c r="G12" s="143" t="s">
        <v>985</v>
      </c>
      <c r="H12" s="143" t="s">
        <v>985</v>
      </c>
      <c r="I12" s="143" t="s">
        <v>985</v>
      </c>
      <c r="J12" s="144" t="s">
        <v>985</v>
      </c>
      <c r="K12" s="137"/>
      <c r="L12" s="17"/>
      <c r="M12" s="427" t="s">
        <v>181</v>
      </c>
      <c r="N12" s="427"/>
      <c r="O12" s="427"/>
      <c r="P12" s="427"/>
      <c r="Q12" s="427"/>
      <c r="R12" s="427"/>
      <c r="S12" s="427"/>
      <c r="T12" s="427"/>
      <c r="U12" s="427"/>
      <c r="V12" s="17"/>
    </row>
    <row r="13" spans="1:31" ht="13.95" customHeight="1" x14ac:dyDescent="0.15">
      <c r="A13" s="136"/>
      <c r="B13" s="425"/>
      <c r="C13" s="426"/>
      <c r="D13" s="426"/>
      <c r="E13" s="143" t="s">
        <v>985</v>
      </c>
      <c r="F13" s="143" t="s">
        <v>985</v>
      </c>
      <c r="G13" s="143" t="s">
        <v>985</v>
      </c>
      <c r="H13" s="143" t="s">
        <v>985</v>
      </c>
      <c r="I13" s="143" t="s">
        <v>985</v>
      </c>
      <c r="J13" s="144" t="s">
        <v>985</v>
      </c>
      <c r="K13" s="136"/>
      <c r="L13" s="17"/>
      <c r="M13" s="428" t="s">
        <v>34</v>
      </c>
      <c r="N13" s="428"/>
      <c r="O13" s="428"/>
      <c r="P13" s="428"/>
      <c r="Q13" s="428"/>
      <c r="R13" s="428"/>
      <c r="S13" s="428"/>
      <c r="T13" s="428"/>
      <c r="U13" s="428"/>
      <c r="V13" s="17"/>
    </row>
    <row r="14" spans="1:31" ht="13.95" customHeight="1" x14ac:dyDescent="0.15">
      <c r="A14" s="137"/>
      <c r="B14" s="427" t="s">
        <v>181</v>
      </c>
      <c r="C14" s="427"/>
      <c r="D14" s="427"/>
      <c r="E14" s="427"/>
      <c r="F14" s="427"/>
      <c r="G14" s="427"/>
      <c r="H14" s="427"/>
      <c r="I14" s="427"/>
      <c r="J14" s="427"/>
      <c r="K14" s="137"/>
      <c r="L14" s="17"/>
      <c r="M14" s="428"/>
      <c r="N14" s="428"/>
      <c r="O14" s="428"/>
      <c r="P14" s="428"/>
      <c r="Q14" s="428"/>
      <c r="R14" s="428"/>
      <c r="S14" s="428"/>
      <c r="T14" s="428"/>
      <c r="U14" s="428"/>
      <c r="V14" s="17"/>
    </row>
    <row r="15" spans="1:31" ht="13.95" customHeight="1" x14ac:dyDescent="0.15">
      <c r="A15" s="136"/>
      <c r="B15" s="428" t="s">
        <v>127</v>
      </c>
      <c r="C15" s="428"/>
      <c r="D15" s="428"/>
      <c r="E15" s="428"/>
      <c r="F15" s="428"/>
      <c r="G15" s="428"/>
      <c r="H15" s="428"/>
      <c r="I15" s="428"/>
      <c r="J15" s="428"/>
      <c r="K15" s="136"/>
      <c r="L15" s="17"/>
      <c r="M15" s="428"/>
      <c r="N15" s="428"/>
      <c r="O15" s="428"/>
      <c r="P15" s="428"/>
      <c r="Q15" s="428"/>
      <c r="R15" s="428"/>
      <c r="S15" s="428"/>
      <c r="T15" s="428"/>
      <c r="U15" s="428"/>
      <c r="V15" s="17"/>
    </row>
    <row r="16" spans="1:31" ht="13.95" customHeight="1" x14ac:dyDescent="0.15">
      <c r="A16" s="137"/>
      <c r="B16" s="428"/>
      <c r="C16" s="428"/>
      <c r="D16" s="428"/>
      <c r="E16" s="428"/>
      <c r="F16" s="428"/>
      <c r="G16" s="428"/>
      <c r="H16" s="428"/>
      <c r="I16" s="428"/>
      <c r="J16" s="428"/>
      <c r="K16" s="137"/>
      <c r="L16" s="17"/>
      <c r="M16" s="428"/>
      <c r="N16" s="428"/>
      <c r="O16" s="428"/>
      <c r="P16" s="428"/>
      <c r="Q16" s="428"/>
      <c r="R16" s="428"/>
      <c r="S16" s="428"/>
      <c r="T16" s="428"/>
      <c r="U16" s="428"/>
      <c r="V16" s="17"/>
    </row>
    <row r="17" spans="1:26" ht="13.95" customHeight="1" x14ac:dyDescent="0.15">
      <c r="A17" s="137"/>
      <c r="B17" s="424" t="s">
        <v>900</v>
      </c>
      <c r="C17" s="424"/>
      <c r="D17" s="424"/>
      <c r="E17" s="424"/>
      <c r="F17" s="424"/>
      <c r="G17" s="424"/>
      <c r="H17" s="424"/>
      <c r="I17" s="424"/>
      <c r="J17" s="424"/>
      <c r="K17" s="136"/>
      <c r="L17" s="17"/>
      <c r="M17" s="424" t="s">
        <v>54</v>
      </c>
      <c r="N17" s="424"/>
      <c r="O17" s="424"/>
      <c r="P17" s="424"/>
      <c r="Q17" s="424"/>
      <c r="R17" s="424"/>
      <c r="S17" s="424"/>
      <c r="T17" s="424"/>
      <c r="U17" s="424"/>
      <c r="V17" s="17"/>
    </row>
    <row r="18" spans="1:26" ht="13.95" customHeight="1" thickBot="1" x14ac:dyDescent="0.2">
      <c r="A18" s="136"/>
      <c r="B18" s="136"/>
      <c r="C18" s="136"/>
      <c r="D18" s="136"/>
      <c r="E18" s="136"/>
      <c r="F18" s="136"/>
      <c r="G18" s="136"/>
      <c r="H18" s="136"/>
      <c r="I18" s="136"/>
      <c r="J18" s="136"/>
      <c r="K18" s="137"/>
      <c r="L18" s="17"/>
      <c r="M18" s="17"/>
      <c r="N18" s="17"/>
      <c r="O18" s="17"/>
      <c r="P18" s="17"/>
      <c r="Q18" s="17"/>
      <c r="R18" s="17"/>
      <c r="S18" s="17"/>
      <c r="T18" s="17"/>
      <c r="U18" s="17"/>
      <c r="V18" s="17"/>
    </row>
    <row r="19" spans="1:26" ht="13.95" customHeight="1" x14ac:dyDescent="0.15">
      <c r="A19" s="137"/>
      <c r="B19" s="429" t="s">
        <v>176</v>
      </c>
      <c r="C19" s="429"/>
      <c r="D19" s="429"/>
      <c r="E19" s="429"/>
      <c r="F19" s="429"/>
      <c r="G19" s="138" t="s">
        <v>177</v>
      </c>
      <c r="H19" s="139" t="s">
        <v>448</v>
      </c>
      <c r="I19" s="139" t="s">
        <v>178</v>
      </c>
      <c r="J19" s="140" t="s">
        <v>179</v>
      </c>
      <c r="K19" s="137"/>
      <c r="L19" s="17"/>
      <c r="M19" s="429" t="s">
        <v>176</v>
      </c>
      <c r="N19" s="429"/>
      <c r="O19" s="429"/>
      <c r="P19" s="429"/>
      <c r="Q19" s="429"/>
      <c r="R19" s="430" t="s">
        <v>180</v>
      </c>
      <c r="S19" s="430"/>
      <c r="T19" s="138" t="s">
        <v>177</v>
      </c>
      <c r="U19" s="141" t="s">
        <v>178</v>
      </c>
      <c r="V19" s="17"/>
    </row>
    <row r="20" spans="1:26" ht="13.95" customHeight="1" x14ac:dyDescent="0.15">
      <c r="A20" s="136"/>
      <c r="B20" s="431" t="s">
        <v>978</v>
      </c>
      <c r="C20" s="431"/>
      <c r="D20" s="431"/>
      <c r="E20" s="431"/>
      <c r="F20" s="431"/>
      <c r="G20" s="419" t="s">
        <v>129</v>
      </c>
      <c r="H20" s="432" t="s">
        <v>789</v>
      </c>
      <c r="I20" s="433">
        <v>1</v>
      </c>
      <c r="J20" s="434">
        <v>2</v>
      </c>
      <c r="K20" s="136"/>
      <c r="L20" s="17"/>
      <c r="M20" s="435" t="s">
        <v>70</v>
      </c>
      <c r="N20" s="435"/>
      <c r="O20" s="435"/>
      <c r="P20" s="435"/>
      <c r="Q20" s="435"/>
      <c r="R20" s="436" t="s">
        <v>938</v>
      </c>
      <c r="S20" s="436"/>
      <c r="T20" s="419" t="s">
        <v>985</v>
      </c>
      <c r="U20" s="420"/>
      <c r="V20" s="17"/>
      <c r="W20" s="4"/>
      <c r="X20" s="4"/>
      <c r="Y20" s="4"/>
      <c r="Z20" s="4"/>
    </row>
    <row r="21" spans="1:26" ht="13.95" customHeight="1" x14ac:dyDescent="0.15">
      <c r="A21" s="137"/>
      <c r="B21" s="431"/>
      <c r="C21" s="431"/>
      <c r="D21" s="431"/>
      <c r="E21" s="431"/>
      <c r="F21" s="431"/>
      <c r="G21" s="419"/>
      <c r="H21" s="432"/>
      <c r="I21" s="433"/>
      <c r="J21" s="434"/>
      <c r="K21" s="137"/>
      <c r="L21" s="17"/>
      <c r="M21" s="435"/>
      <c r="N21" s="435"/>
      <c r="O21" s="435"/>
      <c r="P21" s="435"/>
      <c r="Q21" s="435"/>
      <c r="R21" s="436"/>
      <c r="S21" s="436"/>
      <c r="T21" s="419"/>
      <c r="U21" s="420"/>
      <c r="V21" s="17"/>
      <c r="W21" s="4"/>
      <c r="X21" s="4"/>
      <c r="Y21" s="4"/>
      <c r="Z21" s="4"/>
    </row>
    <row r="22" spans="1:26" ht="13.95" customHeight="1" x14ac:dyDescent="0.15">
      <c r="A22" s="136"/>
      <c r="B22" s="421" t="s">
        <v>709</v>
      </c>
      <c r="C22" s="421"/>
      <c r="D22" s="421"/>
      <c r="E22" s="422" t="s">
        <v>710</v>
      </c>
      <c r="F22" s="422"/>
      <c r="G22" s="422"/>
      <c r="H22" s="423" t="s">
        <v>711</v>
      </c>
      <c r="I22" s="423"/>
      <c r="J22" s="423"/>
      <c r="K22" s="136"/>
      <c r="L22" s="17"/>
      <c r="M22" s="435"/>
      <c r="N22" s="435"/>
      <c r="O22" s="435"/>
      <c r="P22" s="435"/>
      <c r="Q22" s="435"/>
      <c r="R22" s="436"/>
      <c r="S22" s="436"/>
      <c r="T22" s="419"/>
      <c r="U22" s="420"/>
      <c r="V22" s="17"/>
      <c r="W22" s="4"/>
      <c r="X22" s="4"/>
      <c r="Y22" s="4"/>
      <c r="Z22" s="4"/>
    </row>
    <row r="23" spans="1:26" ht="13.95" customHeight="1" x14ac:dyDescent="0.15">
      <c r="A23" s="137"/>
      <c r="B23" s="425" t="s">
        <v>1015</v>
      </c>
      <c r="C23" s="426" t="s">
        <v>985</v>
      </c>
      <c r="D23" s="426" t="s">
        <v>985</v>
      </c>
      <c r="E23" s="143" t="s">
        <v>762</v>
      </c>
      <c r="F23" s="143" t="s">
        <v>985</v>
      </c>
      <c r="G23" s="143" t="s">
        <v>985</v>
      </c>
      <c r="H23" s="143" t="s">
        <v>985</v>
      </c>
      <c r="I23" s="143" t="s">
        <v>985</v>
      </c>
      <c r="J23" s="144" t="s">
        <v>985</v>
      </c>
      <c r="K23" s="137"/>
      <c r="L23" s="17"/>
      <c r="M23" s="427" t="s">
        <v>181</v>
      </c>
      <c r="N23" s="427"/>
      <c r="O23" s="427"/>
      <c r="P23" s="427"/>
      <c r="Q23" s="427"/>
      <c r="R23" s="427"/>
      <c r="S23" s="427"/>
      <c r="T23" s="427"/>
      <c r="U23" s="427"/>
      <c r="V23" s="17"/>
      <c r="W23" s="4"/>
      <c r="X23" s="4"/>
      <c r="Y23" s="4"/>
      <c r="Z23" s="4"/>
    </row>
    <row r="24" spans="1:26" ht="13.95" customHeight="1" x14ac:dyDescent="0.15">
      <c r="A24" s="136"/>
      <c r="B24" s="425"/>
      <c r="C24" s="426"/>
      <c r="D24" s="426"/>
      <c r="E24" s="143" t="s">
        <v>985</v>
      </c>
      <c r="F24" s="143" t="s">
        <v>985</v>
      </c>
      <c r="G24" s="143" t="s">
        <v>985</v>
      </c>
      <c r="H24" s="143" t="s">
        <v>985</v>
      </c>
      <c r="I24" s="143" t="s">
        <v>985</v>
      </c>
      <c r="J24" s="144" t="s">
        <v>985</v>
      </c>
      <c r="K24" s="136"/>
      <c r="L24" s="17"/>
      <c r="M24" s="428" t="s">
        <v>32</v>
      </c>
      <c r="N24" s="428"/>
      <c r="O24" s="428"/>
      <c r="P24" s="428"/>
      <c r="Q24" s="428"/>
      <c r="R24" s="428"/>
      <c r="S24" s="428"/>
      <c r="T24" s="428"/>
      <c r="U24" s="428"/>
      <c r="V24" s="17"/>
      <c r="W24" s="4"/>
      <c r="X24" s="4"/>
      <c r="Y24" s="4"/>
      <c r="Z24" s="4"/>
    </row>
    <row r="25" spans="1:26" ht="13.95" customHeight="1" x14ac:dyDescent="0.15">
      <c r="A25" s="137"/>
      <c r="B25" s="427" t="s">
        <v>181</v>
      </c>
      <c r="C25" s="427"/>
      <c r="D25" s="427"/>
      <c r="E25" s="427"/>
      <c r="F25" s="427"/>
      <c r="G25" s="427"/>
      <c r="H25" s="427"/>
      <c r="I25" s="427"/>
      <c r="J25" s="427"/>
      <c r="K25" s="137"/>
      <c r="L25" s="17"/>
      <c r="M25" s="428"/>
      <c r="N25" s="428"/>
      <c r="O25" s="428"/>
      <c r="P25" s="428"/>
      <c r="Q25" s="428"/>
      <c r="R25" s="428"/>
      <c r="S25" s="428"/>
      <c r="T25" s="428"/>
      <c r="U25" s="428"/>
      <c r="V25" s="17"/>
    </row>
    <row r="26" spans="1:26" ht="13.95" customHeight="1" x14ac:dyDescent="0.15">
      <c r="A26" s="136"/>
      <c r="B26" s="428" t="s">
        <v>977</v>
      </c>
      <c r="C26" s="428"/>
      <c r="D26" s="428"/>
      <c r="E26" s="428"/>
      <c r="F26" s="428"/>
      <c r="G26" s="428"/>
      <c r="H26" s="428"/>
      <c r="I26" s="428"/>
      <c r="J26" s="428"/>
      <c r="K26" s="136"/>
      <c r="L26" s="17"/>
      <c r="M26" s="428"/>
      <c r="N26" s="428"/>
      <c r="O26" s="428"/>
      <c r="P26" s="428"/>
      <c r="Q26" s="428"/>
      <c r="R26" s="428"/>
      <c r="S26" s="428"/>
      <c r="T26" s="428"/>
      <c r="U26" s="428"/>
      <c r="V26" s="17"/>
    </row>
    <row r="27" spans="1:26" ht="13.95" customHeight="1" x14ac:dyDescent="0.15">
      <c r="A27" s="137"/>
      <c r="B27" s="428"/>
      <c r="C27" s="428"/>
      <c r="D27" s="428"/>
      <c r="E27" s="428"/>
      <c r="F27" s="428"/>
      <c r="G27" s="428"/>
      <c r="H27" s="428"/>
      <c r="I27" s="428"/>
      <c r="J27" s="428"/>
      <c r="K27" s="137"/>
      <c r="L27" s="17"/>
      <c r="M27" s="428"/>
      <c r="N27" s="428"/>
      <c r="O27" s="428"/>
      <c r="P27" s="428"/>
      <c r="Q27" s="428"/>
      <c r="R27" s="428"/>
      <c r="S27" s="428"/>
      <c r="T27" s="428"/>
      <c r="U27" s="428"/>
      <c r="V27" s="17"/>
    </row>
    <row r="28" spans="1:26" ht="13.95" customHeight="1" thickBot="1" x14ac:dyDescent="0.2">
      <c r="A28" s="136"/>
      <c r="B28" s="424" t="s">
        <v>976</v>
      </c>
      <c r="C28" s="424"/>
      <c r="D28" s="424"/>
      <c r="E28" s="424"/>
      <c r="F28" s="424"/>
      <c r="G28" s="424"/>
      <c r="H28" s="424"/>
      <c r="I28" s="424"/>
      <c r="J28" s="424"/>
      <c r="K28" s="136"/>
      <c r="L28" s="17"/>
      <c r="M28" s="424" t="s">
        <v>54</v>
      </c>
      <c r="N28" s="424"/>
      <c r="O28" s="424"/>
      <c r="P28" s="424"/>
      <c r="Q28" s="424"/>
      <c r="R28" s="424"/>
      <c r="S28" s="424"/>
      <c r="T28" s="424"/>
      <c r="U28" s="424"/>
      <c r="V28" s="17"/>
    </row>
    <row r="29" spans="1:26" ht="13.95" customHeight="1" thickBot="1" x14ac:dyDescent="0.2">
      <c r="A29" s="137"/>
      <c r="B29" s="137"/>
      <c r="C29" s="137"/>
      <c r="D29" s="137"/>
      <c r="E29" s="137"/>
      <c r="F29" s="137"/>
      <c r="G29" s="137"/>
      <c r="H29" s="137"/>
      <c r="I29" s="137"/>
      <c r="J29" s="137"/>
      <c r="K29" s="136"/>
      <c r="L29" s="17"/>
      <c r="M29" s="17"/>
      <c r="N29" s="17"/>
      <c r="O29" s="17"/>
      <c r="P29" s="17"/>
      <c r="Q29" s="17"/>
      <c r="R29" s="17"/>
      <c r="S29" s="17"/>
      <c r="T29" s="17"/>
      <c r="U29" s="17"/>
      <c r="V29" s="17"/>
    </row>
    <row r="30" spans="1:26" ht="13.95" customHeight="1" x14ac:dyDescent="0.15">
      <c r="A30" s="136"/>
      <c r="B30" s="429" t="s">
        <v>176</v>
      </c>
      <c r="C30" s="429"/>
      <c r="D30" s="429"/>
      <c r="E30" s="429"/>
      <c r="F30" s="429"/>
      <c r="G30" s="138" t="s">
        <v>177</v>
      </c>
      <c r="H30" s="139" t="s">
        <v>448</v>
      </c>
      <c r="I30" s="139" t="s">
        <v>178</v>
      </c>
      <c r="J30" s="140" t="s">
        <v>179</v>
      </c>
      <c r="K30" s="137"/>
      <c r="L30" s="17"/>
      <c r="M30" s="429" t="s">
        <v>176</v>
      </c>
      <c r="N30" s="429"/>
      <c r="O30" s="429"/>
      <c r="P30" s="429"/>
      <c r="Q30" s="429"/>
      <c r="R30" s="430" t="s">
        <v>180</v>
      </c>
      <c r="S30" s="430"/>
      <c r="T30" s="138" t="s">
        <v>177</v>
      </c>
      <c r="U30" s="141" t="s">
        <v>178</v>
      </c>
      <c r="V30" s="17"/>
    </row>
    <row r="31" spans="1:26" ht="13.95" customHeight="1" x14ac:dyDescent="0.15">
      <c r="A31" s="137"/>
      <c r="B31" s="431" t="s">
        <v>74</v>
      </c>
      <c r="C31" s="431"/>
      <c r="D31" s="431"/>
      <c r="E31" s="431"/>
      <c r="F31" s="431"/>
      <c r="G31" s="419" t="s">
        <v>129</v>
      </c>
      <c r="H31" s="432" t="s">
        <v>789</v>
      </c>
      <c r="I31" s="433">
        <v>3</v>
      </c>
      <c r="J31" s="434">
        <v>3</v>
      </c>
      <c r="K31" s="136"/>
      <c r="L31" s="17"/>
      <c r="M31" s="435" t="s">
        <v>1056</v>
      </c>
      <c r="N31" s="435"/>
      <c r="O31" s="435"/>
      <c r="P31" s="435"/>
      <c r="Q31" s="435"/>
      <c r="R31" s="436" t="s">
        <v>752</v>
      </c>
      <c r="S31" s="436"/>
      <c r="T31" s="419" t="s">
        <v>898</v>
      </c>
      <c r="U31" s="420">
        <v>1</v>
      </c>
      <c r="V31" s="17"/>
      <c r="W31" s="4"/>
      <c r="X31" s="4"/>
      <c r="Y31" s="4"/>
      <c r="Z31" s="4"/>
    </row>
    <row r="32" spans="1:26" ht="13.95" customHeight="1" x14ac:dyDescent="0.15">
      <c r="A32" s="136"/>
      <c r="B32" s="431"/>
      <c r="C32" s="431"/>
      <c r="D32" s="431"/>
      <c r="E32" s="431"/>
      <c r="F32" s="431"/>
      <c r="G32" s="419"/>
      <c r="H32" s="432"/>
      <c r="I32" s="433"/>
      <c r="J32" s="434"/>
      <c r="K32" s="137"/>
      <c r="L32" s="17"/>
      <c r="M32" s="435"/>
      <c r="N32" s="435"/>
      <c r="O32" s="435"/>
      <c r="P32" s="435"/>
      <c r="Q32" s="435"/>
      <c r="R32" s="436"/>
      <c r="S32" s="436"/>
      <c r="T32" s="419"/>
      <c r="U32" s="420"/>
      <c r="V32" s="17"/>
      <c r="W32" s="4"/>
      <c r="X32" s="4"/>
      <c r="Y32" s="4"/>
      <c r="Z32" s="4"/>
    </row>
    <row r="33" spans="1:22" ht="13.95" customHeight="1" x14ac:dyDescent="0.15">
      <c r="A33" s="137"/>
      <c r="B33" s="421" t="s">
        <v>709</v>
      </c>
      <c r="C33" s="421"/>
      <c r="D33" s="421"/>
      <c r="E33" s="422" t="s">
        <v>710</v>
      </c>
      <c r="F33" s="422"/>
      <c r="G33" s="422"/>
      <c r="H33" s="423" t="s">
        <v>711</v>
      </c>
      <c r="I33" s="423"/>
      <c r="J33" s="423"/>
      <c r="K33" s="136"/>
      <c r="L33" s="17"/>
      <c r="M33" s="435"/>
      <c r="N33" s="435"/>
      <c r="O33" s="435"/>
      <c r="P33" s="435"/>
      <c r="Q33" s="435"/>
      <c r="R33" s="436"/>
      <c r="S33" s="436"/>
      <c r="T33" s="419"/>
      <c r="U33" s="420"/>
      <c r="V33" s="17"/>
    </row>
    <row r="34" spans="1:22" ht="13.95" customHeight="1" x14ac:dyDescent="0.15">
      <c r="A34" s="136"/>
      <c r="B34" s="425" t="s">
        <v>1015</v>
      </c>
      <c r="C34" s="426" t="s">
        <v>985</v>
      </c>
      <c r="D34" s="426" t="s">
        <v>985</v>
      </c>
      <c r="E34" s="143" t="s">
        <v>1032</v>
      </c>
      <c r="F34" s="143" t="s">
        <v>985</v>
      </c>
      <c r="G34" s="143" t="s">
        <v>985</v>
      </c>
      <c r="H34" s="143" t="s">
        <v>985</v>
      </c>
      <c r="I34" s="143" t="s">
        <v>985</v>
      </c>
      <c r="J34" s="144" t="s">
        <v>985</v>
      </c>
      <c r="K34" s="137"/>
      <c r="L34" s="17"/>
      <c r="M34" s="427" t="s">
        <v>181</v>
      </c>
      <c r="N34" s="427"/>
      <c r="O34" s="427"/>
      <c r="P34" s="427"/>
      <c r="Q34" s="427"/>
      <c r="R34" s="427"/>
      <c r="S34" s="427"/>
      <c r="T34" s="427"/>
      <c r="U34" s="427"/>
      <c r="V34" s="17"/>
    </row>
    <row r="35" spans="1:22" ht="13.95" customHeight="1" x14ac:dyDescent="0.15">
      <c r="A35" s="137"/>
      <c r="B35" s="425"/>
      <c r="C35" s="426"/>
      <c r="D35" s="426"/>
      <c r="E35" s="143" t="s">
        <v>1032</v>
      </c>
      <c r="F35" s="143" t="s">
        <v>985</v>
      </c>
      <c r="G35" s="143" t="s">
        <v>985</v>
      </c>
      <c r="H35" s="143" t="s">
        <v>985</v>
      </c>
      <c r="I35" s="143" t="s">
        <v>985</v>
      </c>
      <c r="J35" s="144" t="s">
        <v>985</v>
      </c>
      <c r="K35" s="136"/>
      <c r="L35" s="17"/>
      <c r="M35" s="428" t="s">
        <v>1055</v>
      </c>
      <c r="N35" s="428"/>
      <c r="O35" s="428"/>
      <c r="P35" s="428"/>
      <c r="Q35" s="428"/>
      <c r="R35" s="428"/>
      <c r="S35" s="428"/>
      <c r="T35" s="428"/>
      <c r="U35" s="428"/>
      <c r="V35" s="17"/>
    </row>
    <row r="36" spans="1:22" ht="13.95" customHeight="1" x14ac:dyDescent="0.15">
      <c r="A36" s="136"/>
      <c r="B36" s="427" t="s">
        <v>181</v>
      </c>
      <c r="C36" s="427"/>
      <c r="D36" s="427"/>
      <c r="E36" s="427"/>
      <c r="F36" s="427"/>
      <c r="G36" s="427"/>
      <c r="H36" s="427"/>
      <c r="I36" s="427"/>
      <c r="J36" s="427"/>
      <c r="K36" s="137"/>
      <c r="L36" s="17"/>
      <c r="M36" s="428"/>
      <c r="N36" s="428"/>
      <c r="O36" s="428"/>
      <c r="P36" s="428"/>
      <c r="Q36" s="428"/>
      <c r="R36" s="428"/>
      <c r="S36" s="428"/>
      <c r="T36" s="428"/>
      <c r="U36" s="428"/>
      <c r="V36" s="17"/>
    </row>
    <row r="37" spans="1:22" ht="13.95" customHeight="1" x14ac:dyDescent="0.15">
      <c r="A37" s="137"/>
      <c r="B37" s="428" t="s">
        <v>33</v>
      </c>
      <c r="C37" s="428"/>
      <c r="D37" s="428"/>
      <c r="E37" s="428"/>
      <c r="F37" s="428"/>
      <c r="G37" s="428"/>
      <c r="H37" s="428"/>
      <c r="I37" s="428"/>
      <c r="J37" s="428"/>
      <c r="K37" s="136"/>
      <c r="L37" s="17"/>
      <c r="M37" s="428"/>
      <c r="N37" s="428"/>
      <c r="O37" s="428"/>
      <c r="P37" s="428"/>
      <c r="Q37" s="428"/>
      <c r="R37" s="428"/>
      <c r="S37" s="428"/>
      <c r="T37" s="428"/>
      <c r="U37" s="428"/>
      <c r="V37" s="17"/>
    </row>
    <row r="38" spans="1:22" ht="13.95" customHeight="1" x14ac:dyDescent="0.15">
      <c r="A38" s="136"/>
      <c r="B38" s="428"/>
      <c r="C38" s="428"/>
      <c r="D38" s="428"/>
      <c r="E38" s="428"/>
      <c r="F38" s="428"/>
      <c r="G38" s="428"/>
      <c r="H38" s="428"/>
      <c r="I38" s="428"/>
      <c r="J38" s="428"/>
      <c r="K38" s="137"/>
      <c r="L38" s="17"/>
      <c r="M38" s="428"/>
      <c r="N38" s="428"/>
      <c r="O38" s="428"/>
      <c r="P38" s="428"/>
      <c r="Q38" s="428"/>
      <c r="R38" s="428"/>
      <c r="S38" s="428"/>
      <c r="T38" s="428"/>
      <c r="U38" s="428"/>
      <c r="V38" s="17"/>
    </row>
    <row r="39" spans="1:22" ht="13.95" customHeight="1" thickBot="1" x14ac:dyDescent="0.2">
      <c r="A39" s="137"/>
      <c r="B39" s="424" t="s">
        <v>73</v>
      </c>
      <c r="C39" s="424"/>
      <c r="D39" s="424"/>
      <c r="E39" s="424"/>
      <c r="F39" s="424"/>
      <c r="G39" s="424"/>
      <c r="H39" s="424"/>
      <c r="I39" s="424"/>
      <c r="J39" s="424"/>
      <c r="K39" s="136"/>
      <c r="L39" s="17"/>
      <c r="M39" s="424" t="s">
        <v>54</v>
      </c>
      <c r="N39" s="424"/>
      <c r="O39" s="424"/>
      <c r="P39" s="424"/>
      <c r="Q39" s="424"/>
      <c r="R39" s="424"/>
      <c r="S39" s="424"/>
      <c r="T39" s="424"/>
      <c r="U39" s="424"/>
      <c r="V39" s="17"/>
    </row>
    <row r="40" spans="1:22" ht="13.95" customHeight="1" thickBot="1" x14ac:dyDescent="0.2">
      <c r="A40" s="136"/>
      <c r="B40" s="136"/>
      <c r="C40" s="136"/>
      <c r="D40" s="136"/>
      <c r="E40" s="136"/>
      <c r="F40" s="136"/>
      <c r="G40" s="136"/>
      <c r="H40" s="136"/>
      <c r="I40" s="136"/>
      <c r="J40" s="136"/>
      <c r="K40" s="137"/>
      <c r="L40" s="17"/>
      <c r="M40" s="17"/>
      <c r="N40" s="17"/>
      <c r="O40" s="17"/>
      <c r="P40" s="17"/>
      <c r="Q40" s="17"/>
      <c r="R40" s="17"/>
      <c r="S40" s="17"/>
      <c r="T40" s="17"/>
      <c r="U40" s="17"/>
      <c r="V40" s="17"/>
    </row>
    <row r="41" spans="1:22" ht="13.95" customHeight="1" x14ac:dyDescent="0.15">
      <c r="A41" s="137"/>
      <c r="B41" s="429" t="s">
        <v>176</v>
      </c>
      <c r="C41" s="429"/>
      <c r="D41" s="429"/>
      <c r="E41" s="429"/>
      <c r="F41" s="429"/>
      <c r="G41" s="138" t="s">
        <v>177</v>
      </c>
      <c r="H41" s="139" t="s">
        <v>448</v>
      </c>
      <c r="I41" s="139" t="s">
        <v>178</v>
      </c>
      <c r="J41" s="140" t="s">
        <v>179</v>
      </c>
      <c r="K41" s="137"/>
      <c r="L41" s="17"/>
      <c r="M41" s="429" t="s">
        <v>176</v>
      </c>
      <c r="N41" s="429"/>
      <c r="O41" s="429"/>
      <c r="P41" s="429"/>
      <c r="Q41" s="429"/>
      <c r="R41" s="430" t="s">
        <v>180</v>
      </c>
      <c r="S41" s="430"/>
      <c r="T41" s="138" t="s">
        <v>177</v>
      </c>
      <c r="U41" s="141" t="s">
        <v>178</v>
      </c>
      <c r="V41" s="17"/>
    </row>
    <row r="42" spans="1:22" ht="13.95" customHeight="1" x14ac:dyDescent="0.15">
      <c r="A42" s="136"/>
      <c r="B42" s="431" t="s">
        <v>126</v>
      </c>
      <c r="C42" s="431"/>
      <c r="D42" s="431"/>
      <c r="E42" s="431"/>
      <c r="F42" s="431"/>
      <c r="G42" s="419" t="s">
        <v>129</v>
      </c>
      <c r="H42" s="432" t="s">
        <v>789</v>
      </c>
      <c r="I42" s="433">
        <v>3</v>
      </c>
      <c r="J42" s="434">
        <v>3</v>
      </c>
      <c r="K42" s="136"/>
      <c r="L42" s="17"/>
      <c r="M42" s="435" t="s">
        <v>1057</v>
      </c>
      <c r="N42" s="435"/>
      <c r="O42" s="435"/>
      <c r="P42" s="435"/>
      <c r="Q42" s="435"/>
      <c r="R42" s="436" t="s">
        <v>752</v>
      </c>
      <c r="S42" s="436"/>
      <c r="T42" s="419" t="s">
        <v>981</v>
      </c>
      <c r="U42" s="420">
        <v>1</v>
      </c>
      <c r="V42" s="17"/>
    </row>
    <row r="43" spans="1:22" ht="13.95" customHeight="1" x14ac:dyDescent="0.15">
      <c r="A43" s="137"/>
      <c r="B43" s="431"/>
      <c r="C43" s="431"/>
      <c r="D43" s="431"/>
      <c r="E43" s="431"/>
      <c r="F43" s="431"/>
      <c r="G43" s="419"/>
      <c r="H43" s="432"/>
      <c r="I43" s="433"/>
      <c r="J43" s="434"/>
      <c r="K43" s="137"/>
      <c r="L43" s="17"/>
      <c r="M43" s="435"/>
      <c r="N43" s="435"/>
      <c r="O43" s="435"/>
      <c r="P43" s="435"/>
      <c r="Q43" s="435"/>
      <c r="R43" s="436"/>
      <c r="S43" s="436"/>
      <c r="T43" s="419"/>
      <c r="U43" s="420"/>
      <c r="V43" s="17"/>
    </row>
    <row r="44" spans="1:22" ht="13.95" customHeight="1" x14ac:dyDescent="0.15">
      <c r="A44" s="136"/>
      <c r="B44" s="421" t="s">
        <v>709</v>
      </c>
      <c r="C44" s="421"/>
      <c r="D44" s="421"/>
      <c r="E44" s="422" t="s">
        <v>710</v>
      </c>
      <c r="F44" s="422"/>
      <c r="G44" s="422"/>
      <c r="H44" s="423" t="s">
        <v>711</v>
      </c>
      <c r="I44" s="423"/>
      <c r="J44" s="423"/>
      <c r="K44" s="136"/>
      <c r="L44" s="17"/>
      <c r="M44" s="435"/>
      <c r="N44" s="435"/>
      <c r="O44" s="435"/>
      <c r="P44" s="435"/>
      <c r="Q44" s="435"/>
      <c r="R44" s="436"/>
      <c r="S44" s="436"/>
      <c r="T44" s="419"/>
      <c r="U44" s="420"/>
      <c r="V44" s="17"/>
    </row>
    <row r="45" spans="1:22" ht="13.95" customHeight="1" x14ac:dyDescent="0.15">
      <c r="A45" s="137"/>
      <c r="B45" s="425" t="s">
        <v>1015</v>
      </c>
      <c r="C45" s="426" t="s">
        <v>985</v>
      </c>
      <c r="D45" s="426" t="s">
        <v>985</v>
      </c>
      <c r="E45" s="143" t="s">
        <v>1048</v>
      </c>
      <c r="F45" s="143" t="s">
        <v>985</v>
      </c>
      <c r="G45" s="143" t="s">
        <v>985</v>
      </c>
      <c r="H45" s="143" t="s">
        <v>985</v>
      </c>
      <c r="I45" s="143" t="s">
        <v>985</v>
      </c>
      <c r="J45" s="144" t="s">
        <v>985</v>
      </c>
      <c r="K45" s="137"/>
      <c r="L45" s="17"/>
      <c r="M45" s="427" t="s">
        <v>181</v>
      </c>
      <c r="N45" s="427"/>
      <c r="O45" s="427"/>
      <c r="P45" s="427"/>
      <c r="Q45" s="427"/>
      <c r="R45" s="427"/>
      <c r="S45" s="427"/>
      <c r="T45" s="427"/>
      <c r="U45" s="427"/>
      <c r="V45" s="17"/>
    </row>
    <row r="46" spans="1:22" ht="13.95" customHeight="1" x14ac:dyDescent="0.15">
      <c r="A46" s="136"/>
      <c r="B46" s="425"/>
      <c r="C46" s="426"/>
      <c r="D46" s="426"/>
      <c r="E46" s="143" t="s">
        <v>1048</v>
      </c>
      <c r="F46" s="143" t="s">
        <v>985</v>
      </c>
      <c r="G46" s="143" t="s">
        <v>985</v>
      </c>
      <c r="H46" s="143" t="s">
        <v>985</v>
      </c>
      <c r="I46" s="143" t="s">
        <v>985</v>
      </c>
      <c r="J46" s="144" t="s">
        <v>985</v>
      </c>
      <c r="K46" s="136"/>
      <c r="L46" s="17"/>
      <c r="M46" s="428" t="s">
        <v>1058</v>
      </c>
      <c r="N46" s="428"/>
      <c r="O46" s="428"/>
      <c r="P46" s="428"/>
      <c r="Q46" s="428"/>
      <c r="R46" s="428"/>
      <c r="S46" s="428"/>
      <c r="T46" s="428"/>
      <c r="U46" s="428"/>
      <c r="V46" s="17"/>
    </row>
    <row r="47" spans="1:22" ht="13.95" customHeight="1" x14ac:dyDescent="0.15">
      <c r="A47" s="137"/>
      <c r="B47" s="427" t="s">
        <v>181</v>
      </c>
      <c r="C47" s="427"/>
      <c r="D47" s="427"/>
      <c r="E47" s="427"/>
      <c r="F47" s="427"/>
      <c r="G47" s="427"/>
      <c r="H47" s="427"/>
      <c r="I47" s="427"/>
      <c r="J47" s="427"/>
      <c r="K47" s="137"/>
      <c r="L47" s="17"/>
      <c r="M47" s="428"/>
      <c r="N47" s="428"/>
      <c r="O47" s="428"/>
      <c r="P47" s="428"/>
      <c r="Q47" s="428"/>
      <c r="R47" s="428"/>
      <c r="S47" s="428"/>
      <c r="T47" s="428"/>
      <c r="U47" s="428"/>
      <c r="V47" s="17"/>
    </row>
    <row r="48" spans="1:22" ht="13.95" customHeight="1" x14ac:dyDescent="0.15">
      <c r="A48" s="136"/>
      <c r="B48" s="428" t="s">
        <v>0</v>
      </c>
      <c r="C48" s="428"/>
      <c r="D48" s="428"/>
      <c r="E48" s="428"/>
      <c r="F48" s="428"/>
      <c r="G48" s="428"/>
      <c r="H48" s="428"/>
      <c r="I48" s="428"/>
      <c r="J48" s="428"/>
      <c r="K48" s="136"/>
      <c r="L48" s="17"/>
      <c r="M48" s="428"/>
      <c r="N48" s="428"/>
      <c r="O48" s="428"/>
      <c r="P48" s="428"/>
      <c r="Q48" s="428"/>
      <c r="R48" s="428"/>
      <c r="S48" s="428"/>
      <c r="T48" s="428"/>
      <c r="U48" s="428"/>
      <c r="V48" s="17"/>
    </row>
    <row r="49" spans="1:32" ht="13.95" customHeight="1" x14ac:dyDescent="0.15">
      <c r="A49" s="137"/>
      <c r="B49" s="428"/>
      <c r="C49" s="428"/>
      <c r="D49" s="428"/>
      <c r="E49" s="428"/>
      <c r="F49" s="428"/>
      <c r="G49" s="428"/>
      <c r="H49" s="428"/>
      <c r="I49" s="428"/>
      <c r="J49" s="428"/>
      <c r="K49" s="137"/>
      <c r="L49" s="17"/>
      <c r="M49" s="428"/>
      <c r="N49" s="428"/>
      <c r="O49" s="428"/>
      <c r="P49" s="428"/>
      <c r="Q49" s="428"/>
      <c r="R49" s="428"/>
      <c r="S49" s="428"/>
      <c r="T49" s="428"/>
      <c r="U49" s="428"/>
      <c r="V49" s="17"/>
    </row>
    <row r="50" spans="1:32" ht="13.95" customHeight="1" thickBot="1" x14ac:dyDescent="0.2">
      <c r="A50" s="136"/>
      <c r="B50" s="424" t="s">
        <v>72</v>
      </c>
      <c r="C50" s="424"/>
      <c r="D50" s="424"/>
      <c r="E50" s="424"/>
      <c r="F50" s="424"/>
      <c r="G50" s="424"/>
      <c r="H50" s="424"/>
      <c r="I50" s="424"/>
      <c r="J50" s="424"/>
      <c r="K50" s="136"/>
      <c r="L50" s="17"/>
      <c r="M50" s="424" t="s">
        <v>54</v>
      </c>
      <c r="N50" s="424"/>
      <c r="O50" s="424"/>
      <c r="P50" s="424"/>
      <c r="Q50" s="424"/>
      <c r="R50" s="424"/>
      <c r="S50" s="424"/>
      <c r="T50" s="424"/>
      <c r="U50" s="424"/>
      <c r="V50" s="17"/>
    </row>
    <row r="51" spans="1:32" ht="13.95" customHeight="1" thickBot="1" x14ac:dyDescent="0.2">
      <c r="A51" s="137"/>
      <c r="B51" s="137"/>
      <c r="C51" s="137"/>
      <c r="D51" s="137"/>
      <c r="E51" s="137"/>
      <c r="F51" s="137"/>
      <c r="G51" s="137"/>
      <c r="H51" s="137"/>
      <c r="I51" s="137"/>
      <c r="J51" s="137"/>
      <c r="K51" s="136"/>
      <c r="L51" s="17"/>
      <c r="M51" s="17"/>
      <c r="N51" s="17"/>
      <c r="O51" s="17"/>
      <c r="P51" s="17"/>
      <c r="Q51" s="17"/>
      <c r="R51" s="17"/>
      <c r="S51" s="17"/>
      <c r="T51" s="17"/>
      <c r="U51" s="17"/>
      <c r="V51" s="17"/>
    </row>
    <row r="52" spans="1:32" ht="13.95" customHeight="1" x14ac:dyDescent="0.15">
      <c r="A52" s="136"/>
      <c r="B52" s="429" t="s">
        <v>176</v>
      </c>
      <c r="C52" s="429"/>
      <c r="D52" s="429"/>
      <c r="E52" s="429"/>
      <c r="F52" s="429"/>
      <c r="G52" s="138" t="s">
        <v>177</v>
      </c>
      <c r="H52" s="139" t="s">
        <v>448</v>
      </c>
      <c r="I52" s="139" t="s">
        <v>178</v>
      </c>
      <c r="J52" s="140" t="s">
        <v>179</v>
      </c>
      <c r="K52" s="137"/>
      <c r="L52" s="17"/>
      <c r="M52" s="429" t="s">
        <v>176</v>
      </c>
      <c r="N52" s="429"/>
      <c r="O52" s="429"/>
      <c r="P52" s="429"/>
      <c r="Q52" s="429"/>
      <c r="R52" s="430" t="s">
        <v>180</v>
      </c>
      <c r="S52" s="430"/>
      <c r="T52" s="138" t="s">
        <v>177</v>
      </c>
      <c r="U52" s="141" t="s">
        <v>178</v>
      </c>
      <c r="V52" s="17"/>
    </row>
    <row r="53" spans="1:32" ht="13.95" customHeight="1" x14ac:dyDescent="0.15">
      <c r="A53" s="137"/>
      <c r="B53" s="431" t="s">
        <v>980</v>
      </c>
      <c r="C53" s="431"/>
      <c r="D53" s="431"/>
      <c r="E53" s="431"/>
      <c r="F53" s="431"/>
      <c r="G53" s="419" t="s">
        <v>129</v>
      </c>
      <c r="H53" s="432" t="s">
        <v>789</v>
      </c>
      <c r="I53" s="433">
        <v>9</v>
      </c>
      <c r="J53" s="434">
        <v>3</v>
      </c>
      <c r="K53" s="136"/>
      <c r="L53" s="17"/>
      <c r="M53" s="435"/>
      <c r="N53" s="435"/>
      <c r="O53" s="435"/>
      <c r="P53" s="435"/>
      <c r="Q53" s="435"/>
      <c r="R53" s="436" t="s">
        <v>985</v>
      </c>
      <c r="S53" s="436"/>
      <c r="T53" s="419" t="s">
        <v>985</v>
      </c>
      <c r="U53" s="420"/>
      <c r="V53" s="17"/>
      <c r="W53" s="4"/>
      <c r="X53" s="4"/>
      <c r="Y53" s="4"/>
      <c r="Z53" s="4"/>
      <c r="AA53" s="4"/>
      <c r="AB53" s="4"/>
      <c r="AC53" s="4"/>
      <c r="AD53" s="4"/>
      <c r="AE53" s="4"/>
      <c r="AF53" s="4"/>
    </row>
    <row r="54" spans="1:32" ht="13.95" customHeight="1" x14ac:dyDescent="0.15">
      <c r="A54" s="136"/>
      <c r="B54" s="431"/>
      <c r="C54" s="431"/>
      <c r="D54" s="431"/>
      <c r="E54" s="431"/>
      <c r="F54" s="431"/>
      <c r="G54" s="419"/>
      <c r="H54" s="432"/>
      <c r="I54" s="433"/>
      <c r="J54" s="434"/>
      <c r="K54" s="137"/>
      <c r="L54" s="17"/>
      <c r="M54" s="435"/>
      <c r="N54" s="435"/>
      <c r="O54" s="435"/>
      <c r="P54" s="435"/>
      <c r="Q54" s="435"/>
      <c r="R54" s="436"/>
      <c r="S54" s="436"/>
      <c r="T54" s="419"/>
      <c r="U54" s="420"/>
      <c r="V54" s="17"/>
      <c r="W54" s="4"/>
      <c r="X54" s="4"/>
      <c r="Y54" s="4"/>
      <c r="Z54" s="4"/>
      <c r="AA54" s="4"/>
      <c r="AB54" s="4"/>
      <c r="AC54" s="4"/>
      <c r="AD54" s="4"/>
      <c r="AE54" s="4"/>
      <c r="AF54" s="4"/>
    </row>
    <row r="55" spans="1:32" ht="13.95" customHeight="1" x14ac:dyDescent="0.15">
      <c r="A55" s="137"/>
      <c r="B55" s="421" t="s">
        <v>709</v>
      </c>
      <c r="C55" s="421"/>
      <c r="D55" s="421"/>
      <c r="E55" s="422" t="s">
        <v>710</v>
      </c>
      <c r="F55" s="422"/>
      <c r="G55" s="422"/>
      <c r="H55" s="423" t="s">
        <v>711</v>
      </c>
      <c r="I55" s="423"/>
      <c r="J55" s="423"/>
      <c r="K55" s="136"/>
      <c r="L55" s="17"/>
      <c r="M55" s="435"/>
      <c r="N55" s="435"/>
      <c r="O55" s="435"/>
      <c r="P55" s="435"/>
      <c r="Q55" s="435"/>
      <c r="R55" s="436"/>
      <c r="S55" s="436"/>
      <c r="T55" s="419"/>
      <c r="U55" s="420"/>
      <c r="V55" s="17"/>
      <c r="W55" s="4"/>
      <c r="X55" s="4"/>
      <c r="Y55" s="4"/>
      <c r="Z55" s="4"/>
      <c r="AA55" s="4"/>
      <c r="AB55" s="4"/>
      <c r="AC55" s="4"/>
      <c r="AD55" s="4"/>
      <c r="AE55" s="4"/>
      <c r="AF55" s="4"/>
    </row>
    <row r="56" spans="1:32" ht="13.95" customHeight="1" x14ac:dyDescent="0.15">
      <c r="A56" s="136"/>
      <c r="B56" s="425" t="s">
        <v>1015</v>
      </c>
      <c r="C56" s="426" t="s">
        <v>985</v>
      </c>
      <c r="D56" s="426" t="s">
        <v>985</v>
      </c>
      <c r="E56" s="143" t="s">
        <v>321</v>
      </c>
      <c r="F56" s="143" t="s">
        <v>985</v>
      </c>
      <c r="G56" s="143" t="s">
        <v>985</v>
      </c>
      <c r="H56" s="143" t="s">
        <v>985</v>
      </c>
      <c r="I56" s="143" t="s">
        <v>985</v>
      </c>
      <c r="J56" s="144" t="s">
        <v>985</v>
      </c>
      <c r="K56" s="137"/>
      <c r="L56" s="17"/>
      <c r="M56" s="427" t="s">
        <v>181</v>
      </c>
      <c r="N56" s="427"/>
      <c r="O56" s="427"/>
      <c r="P56" s="427"/>
      <c r="Q56" s="427"/>
      <c r="R56" s="427"/>
      <c r="S56" s="427"/>
      <c r="T56" s="427"/>
      <c r="U56" s="427"/>
      <c r="V56" s="17"/>
      <c r="W56" s="4"/>
      <c r="X56" s="4"/>
      <c r="Y56" s="4"/>
      <c r="Z56" s="4"/>
      <c r="AA56" s="4"/>
      <c r="AB56" s="4"/>
      <c r="AC56" s="4"/>
      <c r="AD56" s="4"/>
      <c r="AE56" s="4"/>
      <c r="AF56" s="4"/>
    </row>
    <row r="57" spans="1:32" ht="13.95" customHeight="1" x14ac:dyDescent="0.15">
      <c r="A57" s="137"/>
      <c r="B57" s="425"/>
      <c r="C57" s="426"/>
      <c r="D57" s="426"/>
      <c r="E57" s="143" t="s">
        <v>985</v>
      </c>
      <c r="F57" s="143" t="s">
        <v>985</v>
      </c>
      <c r="G57" s="143" t="s">
        <v>985</v>
      </c>
      <c r="H57" s="143" t="s">
        <v>985</v>
      </c>
      <c r="I57" s="143" t="s">
        <v>985</v>
      </c>
      <c r="J57" s="144" t="s">
        <v>985</v>
      </c>
      <c r="K57" s="136"/>
      <c r="L57" s="17"/>
      <c r="M57" s="428"/>
      <c r="N57" s="428"/>
      <c r="O57" s="428"/>
      <c r="P57" s="428"/>
      <c r="Q57" s="428"/>
      <c r="R57" s="428"/>
      <c r="S57" s="428"/>
      <c r="T57" s="428"/>
      <c r="U57" s="428"/>
      <c r="V57" s="17"/>
      <c r="W57" s="4"/>
      <c r="X57" s="4"/>
      <c r="Y57" s="4"/>
      <c r="Z57" s="4"/>
      <c r="AA57" s="4"/>
      <c r="AB57" s="4"/>
      <c r="AC57" s="4"/>
      <c r="AD57" s="4"/>
      <c r="AE57" s="4"/>
      <c r="AF57" s="4"/>
    </row>
    <row r="58" spans="1:32" ht="13.95" customHeight="1" x14ac:dyDescent="0.15">
      <c r="A58" s="136"/>
      <c r="B58" s="427" t="s">
        <v>181</v>
      </c>
      <c r="C58" s="427"/>
      <c r="D58" s="427"/>
      <c r="E58" s="427"/>
      <c r="F58" s="427"/>
      <c r="G58" s="427"/>
      <c r="H58" s="427"/>
      <c r="I58" s="427"/>
      <c r="J58" s="427"/>
      <c r="K58" s="137"/>
      <c r="L58" s="17"/>
      <c r="M58" s="428"/>
      <c r="N58" s="428"/>
      <c r="O58" s="428"/>
      <c r="P58" s="428"/>
      <c r="Q58" s="428"/>
      <c r="R58" s="428"/>
      <c r="S58" s="428"/>
      <c r="T58" s="428"/>
      <c r="U58" s="428"/>
      <c r="V58" s="17"/>
      <c r="W58" s="4"/>
      <c r="X58" s="4"/>
      <c r="Y58" s="4"/>
      <c r="Z58" s="4"/>
      <c r="AA58" s="4"/>
      <c r="AB58" s="4"/>
      <c r="AC58" s="4"/>
      <c r="AD58" s="4"/>
      <c r="AE58" s="4"/>
      <c r="AF58" s="4"/>
    </row>
    <row r="59" spans="1:32" ht="13.95" customHeight="1" x14ac:dyDescent="0.15">
      <c r="A59" s="137"/>
      <c r="B59" s="428" t="s">
        <v>4</v>
      </c>
      <c r="C59" s="428"/>
      <c r="D59" s="428"/>
      <c r="E59" s="428"/>
      <c r="F59" s="428"/>
      <c r="G59" s="428"/>
      <c r="H59" s="428"/>
      <c r="I59" s="428"/>
      <c r="J59" s="428"/>
      <c r="K59" s="136"/>
      <c r="L59" s="17"/>
      <c r="M59" s="428"/>
      <c r="N59" s="428"/>
      <c r="O59" s="428"/>
      <c r="P59" s="428"/>
      <c r="Q59" s="428"/>
      <c r="R59" s="428"/>
      <c r="S59" s="428"/>
      <c r="T59" s="428"/>
      <c r="U59" s="428"/>
      <c r="V59" s="17"/>
      <c r="W59" s="4"/>
      <c r="X59" s="4"/>
      <c r="Y59" s="4"/>
      <c r="Z59" s="4"/>
      <c r="AA59" s="4"/>
      <c r="AB59" s="4"/>
      <c r="AC59" s="4"/>
      <c r="AD59" s="4"/>
      <c r="AE59" s="4"/>
      <c r="AF59" s="4"/>
    </row>
    <row r="60" spans="1:32" ht="13.95" customHeight="1" x14ac:dyDescent="0.15">
      <c r="A60" s="136"/>
      <c r="B60" s="428"/>
      <c r="C60" s="428"/>
      <c r="D60" s="428"/>
      <c r="E60" s="428"/>
      <c r="F60" s="428"/>
      <c r="G60" s="428"/>
      <c r="H60" s="428"/>
      <c r="I60" s="428"/>
      <c r="J60" s="428"/>
      <c r="K60" s="137"/>
      <c r="L60" s="17"/>
      <c r="M60" s="428"/>
      <c r="N60" s="428"/>
      <c r="O60" s="428"/>
      <c r="P60" s="428"/>
      <c r="Q60" s="428"/>
      <c r="R60" s="428"/>
      <c r="S60" s="428"/>
      <c r="T60" s="428"/>
      <c r="U60" s="428"/>
      <c r="V60" s="17"/>
      <c r="W60" s="4"/>
      <c r="X60" s="4"/>
      <c r="Y60" s="4"/>
      <c r="Z60" s="4"/>
      <c r="AA60" s="4"/>
      <c r="AB60" s="4"/>
      <c r="AC60" s="4"/>
      <c r="AD60" s="4"/>
      <c r="AE60" s="4"/>
      <c r="AF60" s="4"/>
    </row>
    <row r="61" spans="1:32" ht="13.95" customHeight="1" thickBot="1" x14ac:dyDescent="0.2">
      <c r="A61" s="137"/>
      <c r="B61" s="424" t="s">
        <v>1064</v>
      </c>
      <c r="C61" s="424"/>
      <c r="D61" s="424"/>
      <c r="E61" s="424"/>
      <c r="F61" s="424"/>
      <c r="G61" s="424"/>
      <c r="H61" s="424"/>
      <c r="I61" s="424"/>
      <c r="J61" s="424"/>
      <c r="K61" s="136"/>
      <c r="L61" s="17"/>
      <c r="M61" s="424" t="s">
        <v>54</v>
      </c>
      <c r="N61" s="424"/>
      <c r="O61" s="424"/>
      <c r="P61" s="424"/>
      <c r="Q61" s="424"/>
      <c r="R61" s="424"/>
      <c r="S61" s="424"/>
      <c r="T61" s="424"/>
      <c r="U61" s="424"/>
      <c r="V61" s="17"/>
      <c r="W61" s="4"/>
      <c r="X61" s="4"/>
      <c r="Y61" s="4"/>
      <c r="Z61" s="4"/>
      <c r="AA61" s="4"/>
      <c r="AB61" s="4"/>
      <c r="AC61" s="4"/>
      <c r="AD61" s="4"/>
      <c r="AE61" s="4"/>
      <c r="AF61" s="4"/>
    </row>
    <row r="62" spans="1:32" ht="13.95" customHeight="1" thickBot="1" x14ac:dyDescent="0.2">
      <c r="A62" s="136"/>
      <c r="B62" s="136"/>
      <c r="C62" s="136"/>
      <c r="D62" s="136"/>
      <c r="E62" s="136"/>
      <c r="F62" s="136"/>
      <c r="G62" s="136"/>
      <c r="H62" s="136"/>
      <c r="I62" s="136"/>
      <c r="J62" s="136"/>
      <c r="K62" s="137"/>
      <c r="L62" s="17"/>
      <c r="M62" s="17"/>
      <c r="N62" s="17"/>
      <c r="O62" s="17"/>
      <c r="P62" s="17"/>
      <c r="Q62" s="17"/>
      <c r="R62" s="17"/>
      <c r="S62" s="17"/>
      <c r="T62" s="17"/>
      <c r="U62" s="17"/>
      <c r="V62" s="17"/>
      <c r="W62" s="4"/>
      <c r="X62" s="4"/>
      <c r="Y62" s="4"/>
      <c r="Z62" s="4"/>
      <c r="AA62" s="4"/>
      <c r="AB62" s="4"/>
      <c r="AC62" s="4"/>
      <c r="AD62" s="4"/>
      <c r="AE62" s="4"/>
      <c r="AF62" s="4"/>
    </row>
    <row r="63" spans="1:32" ht="13.95" customHeight="1" x14ac:dyDescent="0.15">
      <c r="A63" s="137"/>
      <c r="B63" s="429" t="s">
        <v>176</v>
      </c>
      <c r="C63" s="429"/>
      <c r="D63" s="429"/>
      <c r="E63" s="429"/>
      <c r="F63" s="429"/>
      <c r="G63" s="138" t="s">
        <v>177</v>
      </c>
      <c r="H63" s="139" t="s">
        <v>448</v>
      </c>
      <c r="I63" s="139" t="s">
        <v>178</v>
      </c>
      <c r="J63" s="140" t="s">
        <v>179</v>
      </c>
      <c r="K63" s="137"/>
      <c r="L63" s="17"/>
      <c r="M63" s="429" t="s">
        <v>176</v>
      </c>
      <c r="N63" s="429"/>
      <c r="O63" s="429"/>
      <c r="P63" s="429"/>
      <c r="Q63" s="429"/>
      <c r="R63" s="430" t="s">
        <v>180</v>
      </c>
      <c r="S63" s="430"/>
      <c r="T63" s="138" t="s">
        <v>177</v>
      </c>
      <c r="U63" s="141" t="s">
        <v>178</v>
      </c>
      <c r="V63" s="17"/>
      <c r="W63" s="4"/>
      <c r="X63" s="4"/>
      <c r="Y63" s="4"/>
      <c r="Z63" s="4"/>
      <c r="AA63" s="4"/>
      <c r="AB63" s="4"/>
      <c r="AC63" s="4"/>
      <c r="AD63" s="4"/>
      <c r="AE63" s="4"/>
      <c r="AF63" s="4"/>
    </row>
    <row r="64" spans="1:32" ht="13.95" customHeight="1" x14ac:dyDescent="0.15">
      <c r="A64" s="136"/>
      <c r="B64" s="431" t="s">
        <v>128</v>
      </c>
      <c r="C64" s="431"/>
      <c r="D64" s="431"/>
      <c r="E64" s="431"/>
      <c r="F64" s="431"/>
      <c r="G64" s="419" t="s">
        <v>129</v>
      </c>
      <c r="H64" s="432" t="s">
        <v>465</v>
      </c>
      <c r="I64" s="433">
        <v>13</v>
      </c>
      <c r="J64" s="434">
        <v>6</v>
      </c>
      <c r="K64" s="136"/>
      <c r="L64" s="17"/>
      <c r="M64" s="435"/>
      <c r="N64" s="435"/>
      <c r="O64" s="435"/>
      <c r="P64" s="435"/>
      <c r="Q64" s="435"/>
      <c r="R64" s="436" t="s">
        <v>985</v>
      </c>
      <c r="S64" s="436"/>
      <c r="T64" s="419" t="s">
        <v>985</v>
      </c>
      <c r="U64" s="420"/>
      <c r="V64" s="17"/>
      <c r="W64" s="4"/>
      <c r="X64" s="4"/>
      <c r="Y64" s="4"/>
      <c r="Z64" s="4"/>
      <c r="AA64" s="4"/>
      <c r="AB64" s="4"/>
      <c r="AC64" s="4"/>
      <c r="AD64" s="4"/>
      <c r="AE64" s="4"/>
      <c r="AF64" s="4"/>
    </row>
    <row r="65" spans="1:32" ht="13.95" customHeight="1" x14ac:dyDescent="0.15">
      <c r="A65" s="137"/>
      <c r="B65" s="431"/>
      <c r="C65" s="431"/>
      <c r="D65" s="431"/>
      <c r="E65" s="431"/>
      <c r="F65" s="431"/>
      <c r="G65" s="419"/>
      <c r="H65" s="432"/>
      <c r="I65" s="433"/>
      <c r="J65" s="434"/>
      <c r="K65" s="137"/>
      <c r="L65" s="17"/>
      <c r="M65" s="435"/>
      <c r="N65" s="435"/>
      <c r="O65" s="435"/>
      <c r="P65" s="435"/>
      <c r="Q65" s="435"/>
      <c r="R65" s="436"/>
      <c r="S65" s="436"/>
      <c r="T65" s="419"/>
      <c r="U65" s="420"/>
      <c r="V65" s="17"/>
      <c r="W65" s="4"/>
      <c r="X65" s="4"/>
      <c r="Y65" s="4"/>
      <c r="Z65" s="4"/>
      <c r="AA65" s="4"/>
      <c r="AB65" s="4"/>
      <c r="AC65" s="4"/>
      <c r="AD65" s="4"/>
      <c r="AE65" s="4"/>
      <c r="AF65" s="4"/>
    </row>
    <row r="66" spans="1:32" ht="13.95" customHeight="1" x14ac:dyDescent="0.15">
      <c r="A66" s="136"/>
      <c r="B66" s="421" t="s">
        <v>709</v>
      </c>
      <c r="C66" s="421"/>
      <c r="D66" s="421"/>
      <c r="E66" s="422" t="s">
        <v>710</v>
      </c>
      <c r="F66" s="422"/>
      <c r="G66" s="422"/>
      <c r="H66" s="423" t="s">
        <v>711</v>
      </c>
      <c r="I66" s="423"/>
      <c r="J66" s="423"/>
      <c r="K66" s="136"/>
      <c r="L66" s="17"/>
      <c r="M66" s="435"/>
      <c r="N66" s="435"/>
      <c r="O66" s="435"/>
      <c r="P66" s="435"/>
      <c r="Q66" s="435"/>
      <c r="R66" s="436"/>
      <c r="S66" s="436"/>
      <c r="T66" s="419"/>
      <c r="U66" s="420"/>
      <c r="V66" s="17"/>
      <c r="W66" s="4"/>
      <c r="X66" s="4"/>
      <c r="Y66" s="4"/>
      <c r="Z66" s="4"/>
      <c r="AA66" s="4"/>
      <c r="AB66" s="4"/>
      <c r="AC66" s="4"/>
      <c r="AD66" s="4"/>
      <c r="AE66" s="4"/>
      <c r="AF66" s="4"/>
    </row>
    <row r="67" spans="1:32" ht="13.95" customHeight="1" x14ac:dyDescent="0.15">
      <c r="A67" s="137"/>
      <c r="B67" s="425" t="s">
        <v>740</v>
      </c>
      <c r="C67" s="426" t="s">
        <v>1015</v>
      </c>
      <c r="D67" s="426" t="s">
        <v>985</v>
      </c>
      <c r="E67" s="143" t="s">
        <v>762</v>
      </c>
      <c r="F67" s="143" t="s">
        <v>762</v>
      </c>
      <c r="G67" s="143" t="s">
        <v>985</v>
      </c>
      <c r="H67" s="143" t="s">
        <v>614</v>
      </c>
      <c r="I67" s="143" t="s">
        <v>985</v>
      </c>
      <c r="J67" s="144" t="s">
        <v>985</v>
      </c>
      <c r="K67" s="137"/>
      <c r="L67" s="17"/>
      <c r="M67" s="427" t="s">
        <v>181</v>
      </c>
      <c r="N67" s="427"/>
      <c r="O67" s="427"/>
      <c r="P67" s="427"/>
      <c r="Q67" s="427"/>
      <c r="R67" s="427"/>
      <c r="S67" s="427"/>
      <c r="T67" s="427"/>
      <c r="U67" s="427"/>
      <c r="V67" s="17"/>
      <c r="W67" s="4"/>
      <c r="X67" s="4"/>
      <c r="Y67" s="4"/>
      <c r="Z67" s="4"/>
      <c r="AA67" s="4"/>
      <c r="AB67" s="4"/>
      <c r="AC67" s="4"/>
      <c r="AD67" s="4"/>
      <c r="AE67" s="4"/>
      <c r="AF67" s="4"/>
    </row>
    <row r="68" spans="1:32" ht="13.95" customHeight="1" x14ac:dyDescent="0.15">
      <c r="A68" s="136"/>
      <c r="B68" s="425"/>
      <c r="C68" s="426"/>
      <c r="D68" s="426"/>
      <c r="E68" s="143" t="s">
        <v>985</v>
      </c>
      <c r="F68" s="143" t="s">
        <v>985</v>
      </c>
      <c r="G68" s="143" t="s">
        <v>985</v>
      </c>
      <c r="H68" s="143" t="s">
        <v>985</v>
      </c>
      <c r="I68" s="143" t="s">
        <v>985</v>
      </c>
      <c r="J68" s="144" t="s">
        <v>985</v>
      </c>
      <c r="K68" s="136"/>
      <c r="L68" s="17"/>
      <c r="M68" s="428"/>
      <c r="N68" s="428"/>
      <c r="O68" s="428"/>
      <c r="P68" s="428"/>
      <c r="Q68" s="428"/>
      <c r="R68" s="428"/>
      <c r="S68" s="428"/>
      <c r="T68" s="428"/>
      <c r="U68" s="428"/>
      <c r="V68" s="17"/>
      <c r="W68" s="4"/>
      <c r="X68" s="4"/>
      <c r="Y68" s="4"/>
      <c r="Z68" s="4"/>
      <c r="AA68" s="4"/>
      <c r="AB68" s="4"/>
      <c r="AC68" s="4"/>
      <c r="AD68" s="4"/>
      <c r="AE68" s="4"/>
      <c r="AF68" s="4"/>
    </row>
    <row r="69" spans="1:32" ht="13.95" customHeight="1" x14ac:dyDescent="0.15">
      <c r="A69" s="137"/>
      <c r="B69" s="427" t="s">
        <v>181</v>
      </c>
      <c r="C69" s="427"/>
      <c r="D69" s="427"/>
      <c r="E69" s="427"/>
      <c r="F69" s="427"/>
      <c r="G69" s="427"/>
      <c r="H69" s="427"/>
      <c r="I69" s="427"/>
      <c r="J69" s="427"/>
      <c r="K69" s="137"/>
      <c r="L69" s="17"/>
      <c r="M69" s="428"/>
      <c r="N69" s="428"/>
      <c r="O69" s="428"/>
      <c r="P69" s="428"/>
      <c r="Q69" s="428"/>
      <c r="R69" s="428"/>
      <c r="S69" s="428"/>
      <c r="T69" s="428"/>
      <c r="U69" s="428"/>
      <c r="V69" s="17"/>
      <c r="W69" s="4"/>
      <c r="X69" s="4"/>
      <c r="Y69" s="4"/>
      <c r="Z69" s="4"/>
      <c r="AA69" s="4"/>
      <c r="AB69" s="4"/>
      <c r="AC69" s="4"/>
      <c r="AD69" s="4"/>
      <c r="AE69" s="4"/>
      <c r="AF69" s="4"/>
    </row>
    <row r="70" spans="1:32" ht="13.95" customHeight="1" x14ac:dyDescent="0.15">
      <c r="A70" s="136"/>
      <c r="B70" s="428" t="s">
        <v>3</v>
      </c>
      <c r="C70" s="428"/>
      <c r="D70" s="428"/>
      <c r="E70" s="428"/>
      <c r="F70" s="428"/>
      <c r="G70" s="428"/>
      <c r="H70" s="428"/>
      <c r="I70" s="428"/>
      <c r="J70" s="428"/>
      <c r="K70" s="136"/>
      <c r="L70" s="17"/>
      <c r="M70" s="428"/>
      <c r="N70" s="428"/>
      <c r="O70" s="428"/>
      <c r="P70" s="428"/>
      <c r="Q70" s="428"/>
      <c r="R70" s="428"/>
      <c r="S70" s="428"/>
      <c r="T70" s="428"/>
      <c r="U70" s="428"/>
      <c r="V70" s="17"/>
      <c r="W70" s="4"/>
      <c r="X70" s="4"/>
      <c r="Y70" s="4"/>
      <c r="Z70" s="4"/>
      <c r="AA70" s="4"/>
      <c r="AB70" s="4"/>
      <c r="AC70" s="4"/>
      <c r="AD70" s="4"/>
      <c r="AE70" s="4"/>
      <c r="AF70" s="4"/>
    </row>
    <row r="71" spans="1:32" ht="13.95" customHeight="1" x14ac:dyDescent="0.15">
      <c r="A71" s="137"/>
      <c r="B71" s="428"/>
      <c r="C71" s="428"/>
      <c r="D71" s="428"/>
      <c r="E71" s="428"/>
      <c r="F71" s="428"/>
      <c r="G71" s="428"/>
      <c r="H71" s="428"/>
      <c r="I71" s="428"/>
      <c r="J71" s="428"/>
      <c r="K71" s="137"/>
      <c r="L71" s="17"/>
      <c r="M71" s="428"/>
      <c r="N71" s="428"/>
      <c r="O71" s="428"/>
      <c r="P71" s="428"/>
      <c r="Q71" s="428"/>
      <c r="R71" s="428"/>
      <c r="S71" s="428"/>
      <c r="T71" s="428"/>
      <c r="U71" s="428"/>
      <c r="V71" s="17"/>
      <c r="W71" s="4"/>
      <c r="X71" s="4"/>
      <c r="Y71" s="4"/>
      <c r="Z71" s="4"/>
      <c r="AA71" s="4"/>
      <c r="AB71" s="4"/>
      <c r="AC71" s="4"/>
      <c r="AD71" s="4"/>
      <c r="AE71" s="4"/>
      <c r="AF71" s="4"/>
    </row>
    <row r="72" spans="1:32" ht="13.95" customHeight="1" x14ac:dyDescent="0.15">
      <c r="A72" s="136"/>
      <c r="B72" s="424" t="s">
        <v>899</v>
      </c>
      <c r="C72" s="424"/>
      <c r="D72" s="424"/>
      <c r="E72" s="424"/>
      <c r="F72" s="424"/>
      <c r="G72" s="424"/>
      <c r="H72" s="424"/>
      <c r="I72" s="424"/>
      <c r="J72" s="424"/>
      <c r="K72" s="136"/>
      <c r="L72" s="17"/>
      <c r="M72" s="424" t="s">
        <v>54</v>
      </c>
      <c r="N72" s="424"/>
      <c r="O72" s="424"/>
      <c r="P72" s="424"/>
      <c r="Q72" s="424"/>
      <c r="R72" s="424"/>
      <c r="S72" s="424"/>
      <c r="T72" s="424"/>
      <c r="U72" s="424"/>
      <c r="V72" s="17"/>
      <c r="W72" s="4"/>
      <c r="X72" s="4"/>
      <c r="Y72" s="4"/>
      <c r="Z72" s="4"/>
      <c r="AA72" s="4"/>
      <c r="AB72" s="4"/>
      <c r="AC72" s="4"/>
      <c r="AD72" s="4"/>
      <c r="AE72" s="4"/>
      <c r="AF72" s="4"/>
    </row>
    <row r="73" spans="1:32" ht="13.95" customHeight="1" x14ac:dyDescent="0.15">
      <c r="A73" s="137"/>
      <c r="B73" s="137"/>
      <c r="C73" s="137"/>
      <c r="D73" s="137"/>
      <c r="E73" s="137"/>
      <c r="F73" s="137"/>
      <c r="G73" s="137"/>
      <c r="H73" s="137"/>
      <c r="I73" s="137"/>
      <c r="J73" s="137"/>
      <c r="K73" s="136"/>
      <c r="L73" s="17"/>
      <c r="M73" s="17"/>
      <c r="N73" s="17"/>
      <c r="O73" s="17"/>
      <c r="P73" s="17"/>
      <c r="Q73" s="17"/>
      <c r="R73" s="17"/>
      <c r="S73" s="17"/>
      <c r="T73" s="17"/>
      <c r="U73" s="17"/>
      <c r="V73" s="17"/>
      <c r="W73" s="4"/>
      <c r="X73" s="4"/>
      <c r="Y73" s="4"/>
      <c r="Z73" s="4"/>
      <c r="AA73" s="4"/>
      <c r="AB73" s="4"/>
      <c r="AC73" s="4"/>
      <c r="AD73" s="4"/>
      <c r="AE73" s="4"/>
      <c r="AF73" s="4"/>
    </row>
    <row r="74" spans="1:32" ht="13.95" customHeight="1" x14ac:dyDescent="0.15">
      <c r="A74" s="136"/>
      <c r="B74" s="429" t="s">
        <v>176</v>
      </c>
      <c r="C74" s="429"/>
      <c r="D74" s="429"/>
      <c r="E74" s="429"/>
      <c r="F74" s="429"/>
      <c r="G74" s="138" t="s">
        <v>177</v>
      </c>
      <c r="H74" s="139" t="s">
        <v>448</v>
      </c>
      <c r="I74" s="139" t="s">
        <v>178</v>
      </c>
      <c r="J74" s="140" t="s">
        <v>179</v>
      </c>
      <c r="K74" s="137"/>
      <c r="L74" s="17"/>
      <c r="M74" s="429" t="s">
        <v>176</v>
      </c>
      <c r="N74" s="429"/>
      <c r="O74" s="429"/>
      <c r="P74" s="429"/>
      <c r="Q74" s="429"/>
      <c r="R74" s="430" t="s">
        <v>180</v>
      </c>
      <c r="S74" s="430"/>
      <c r="T74" s="138" t="s">
        <v>177</v>
      </c>
      <c r="U74" s="141" t="s">
        <v>178</v>
      </c>
      <c r="V74" s="17"/>
      <c r="W74" s="4"/>
      <c r="X74" s="4"/>
      <c r="Y74" s="4"/>
      <c r="Z74" s="4"/>
      <c r="AA74" s="4"/>
      <c r="AB74" s="4"/>
      <c r="AC74" s="4"/>
      <c r="AD74" s="4"/>
      <c r="AE74" s="4"/>
      <c r="AF74" s="4"/>
    </row>
    <row r="75" spans="1:32" ht="13.95" customHeight="1" x14ac:dyDescent="0.15">
      <c r="A75" s="137"/>
      <c r="B75" s="513" t="s">
        <v>1059</v>
      </c>
      <c r="C75" s="431"/>
      <c r="D75" s="431"/>
      <c r="E75" s="431"/>
      <c r="F75" s="431"/>
      <c r="G75" s="419" t="s">
        <v>129</v>
      </c>
      <c r="H75" s="432" t="s">
        <v>465</v>
      </c>
      <c r="I75" s="433">
        <v>4</v>
      </c>
      <c r="J75" s="434">
        <v>2</v>
      </c>
      <c r="K75" s="136"/>
      <c r="L75" s="17"/>
      <c r="M75" s="435"/>
      <c r="N75" s="435"/>
      <c r="O75" s="435"/>
      <c r="P75" s="435"/>
      <c r="Q75" s="435"/>
      <c r="R75" s="436" t="s">
        <v>985</v>
      </c>
      <c r="S75" s="436"/>
      <c r="T75" s="419" t="s">
        <v>985</v>
      </c>
      <c r="U75" s="420"/>
      <c r="V75" s="17"/>
      <c r="W75" s="4"/>
      <c r="X75" s="4"/>
      <c r="Y75" s="4"/>
      <c r="Z75" s="4"/>
      <c r="AA75" s="4"/>
      <c r="AB75" s="4"/>
      <c r="AC75" s="4"/>
      <c r="AD75" s="4"/>
      <c r="AE75" s="4"/>
      <c r="AF75" s="4"/>
    </row>
    <row r="76" spans="1:32" ht="13.95" customHeight="1" x14ac:dyDescent="0.15">
      <c r="A76" s="136"/>
      <c r="B76" s="431"/>
      <c r="C76" s="431"/>
      <c r="D76" s="431"/>
      <c r="E76" s="431"/>
      <c r="F76" s="431"/>
      <c r="G76" s="419"/>
      <c r="H76" s="432"/>
      <c r="I76" s="433"/>
      <c r="J76" s="434"/>
      <c r="K76" s="137"/>
      <c r="L76" s="17"/>
      <c r="M76" s="435"/>
      <c r="N76" s="435"/>
      <c r="O76" s="435"/>
      <c r="P76" s="435"/>
      <c r="Q76" s="435"/>
      <c r="R76" s="436"/>
      <c r="S76" s="436"/>
      <c r="T76" s="419"/>
      <c r="U76" s="420"/>
      <c r="V76" s="17"/>
      <c r="W76" s="4"/>
      <c r="X76" s="4"/>
      <c r="Y76" s="4"/>
      <c r="Z76" s="4"/>
      <c r="AA76" s="4"/>
      <c r="AB76" s="4"/>
      <c r="AC76" s="4"/>
      <c r="AD76" s="4"/>
      <c r="AE76" s="4"/>
      <c r="AF76" s="4"/>
    </row>
    <row r="77" spans="1:32" ht="13.95" customHeight="1" x14ac:dyDescent="0.15">
      <c r="A77" s="137"/>
      <c r="B77" s="421" t="s">
        <v>709</v>
      </c>
      <c r="C77" s="421"/>
      <c r="D77" s="421"/>
      <c r="E77" s="422" t="s">
        <v>710</v>
      </c>
      <c r="F77" s="422"/>
      <c r="G77" s="422"/>
      <c r="H77" s="423" t="s">
        <v>711</v>
      </c>
      <c r="I77" s="423"/>
      <c r="J77" s="423"/>
      <c r="K77" s="136"/>
      <c r="L77" s="17"/>
      <c r="M77" s="435"/>
      <c r="N77" s="435"/>
      <c r="O77" s="435"/>
      <c r="P77" s="435"/>
      <c r="Q77" s="435"/>
      <c r="R77" s="436"/>
      <c r="S77" s="436"/>
      <c r="T77" s="419"/>
      <c r="U77" s="420"/>
      <c r="V77" s="17"/>
      <c r="W77" s="4"/>
      <c r="X77" s="4"/>
      <c r="Y77" s="4"/>
      <c r="Z77" s="4"/>
      <c r="AA77" s="4"/>
      <c r="AB77" s="4"/>
      <c r="AC77" s="4"/>
      <c r="AD77" s="4"/>
      <c r="AE77" s="4"/>
      <c r="AF77" s="4"/>
    </row>
    <row r="78" spans="1:32" ht="13.95" customHeight="1" x14ac:dyDescent="0.15">
      <c r="A78" s="136"/>
      <c r="B78" s="425" t="s">
        <v>740</v>
      </c>
      <c r="C78" s="426" t="s">
        <v>985</v>
      </c>
      <c r="D78" s="426" t="s">
        <v>985</v>
      </c>
      <c r="E78" s="143" t="s">
        <v>985</v>
      </c>
      <c r="F78" s="143" t="s">
        <v>985</v>
      </c>
      <c r="G78" s="143" t="s">
        <v>985</v>
      </c>
      <c r="H78" s="143" t="s">
        <v>1049</v>
      </c>
      <c r="I78" s="143" t="s">
        <v>985</v>
      </c>
      <c r="J78" s="144" t="s">
        <v>985</v>
      </c>
      <c r="K78" s="137"/>
      <c r="L78" s="17"/>
      <c r="M78" s="427" t="s">
        <v>181</v>
      </c>
      <c r="N78" s="427"/>
      <c r="O78" s="427"/>
      <c r="P78" s="427"/>
      <c r="Q78" s="427"/>
      <c r="R78" s="427"/>
      <c r="S78" s="427"/>
      <c r="T78" s="427"/>
      <c r="U78" s="427"/>
      <c r="V78" s="17"/>
      <c r="W78" s="4"/>
      <c r="X78" s="4"/>
      <c r="Y78" s="4"/>
      <c r="Z78" s="4"/>
      <c r="AA78" s="4"/>
      <c r="AB78" s="4"/>
      <c r="AC78" s="4"/>
      <c r="AD78" s="4"/>
      <c r="AE78" s="4"/>
      <c r="AF78" s="4"/>
    </row>
    <row r="79" spans="1:32" ht="13.95" customHeight="1" x14ac:dyDescent="0.15">
      <c r="A79" s="137"/>
      <c r="B79" s="425"/>
      <c r="C79" s="426"/>
      <c r="D79" s="426"/>
      <c r="E79" s="143" t="s">
        <v>985</v>
      </c>
      <c r="F79" s="143" t="s">
        <v>985</v>
      </c>
      <c r="G79" s="143" t="s">
        <v>985</v>
      </c>
      <c r="H79" s="143" t="s">
        <v>985</v>
      </c>
      <c r="I79" s="143" t="s">
        <v>985</v>
      </c>
      <c r="J79" s="144" t="s">
        <v>985</v>
      </c>
      <c r="K79" s="136"/>
      <c r="L79" s="17"/>
      <c r="M79" s="428"/>
      <c r="N79" s="428"/>
      <c r="O79" s="428"/>
      <c r="P79" s="428"/>
      <c r="Q79" s="428"/>
      <c r="R79" s="428"/>
      <c r="S79" s="428"/>
      <c r="T79" s="428"/>
      <c r="U79" s="428"/>
      <c r="V79" s="17"/>
      <c r="W79" s="4"/>
      <c r="X79" s="4"/>
      <c r="Y79" s="4"/>
      <c r="Z79" s="4"/>
      <c r="AA79" s="4"/>
      <c r="AB79" s="4"/>
      <c r="AC79" s="4"/>
      <c r="AD79" s="4"/>
      <c r="AE79" s="4"/>
      <c r="AF79" s="4"/>
    </row>
    <row r="80" spans="1:32" ht="13.95" customHeight="1" x14ac:dyDescent="0.15">
      <c r="A80" s="136"/>
      <c r="B80" s="427" t="s">
        <v>181</v>
      </c>
      <c r="C80" s="427"/>
      <c r="D80" s="427"/>
      <c r="E80" s="427"/>
      <c r="F80" s="427"/>
      <c r="G80" s="427"/>
      <c r="H80" s="427"/>
      <c r="I80" s="427"/>
      <c r="J80" s="427"/>
      <c r="K80" s="137"/>
      <c r="L80" s="17"/>
      <c r="M80" s="428"/>
      <c r="N80" s="428"/>
      <c r="O80" s="428"/>
      <c r="P80" s="428"/>
      <c r="Q80" s="428"/>
      <c r="R80" s="428"/>
      <c r="S80" s="428"/>
      <c r="T80" s="428"/>
      <c r="U80" s="428"/>
      <c r="V80" s="17"/>
      <c r="W80" s="4"/>
      <c r="X80" s="4"/>
      <c r="Y80" s="4"/>
      <c r="Z80" s="4"/>
      <c r="AA80" s="4"/>
      <c r="AB80" s="4"/>
      <c r="AC80" s="4"/>
      <c r="AD80" s="4"/>
      <c r="AE80" s="4"/>
      <c r="AF80" s="4"/>
    </row>
    <row r="81" spans="1:32" ht="13.95" customHeight="1" x14ac:dyDescent="0.15">
      <c r="A81" s="137"/>
      <c r="B81" s="428" t="s">
        <v>1060</v>
      </c>
      <c r="C81" s="428"/>
      <c r="D81" s="428"/>
      <c r="E81" s="428"/>
      <c r="F81" s="428"/>
      <c r="G81" s="428"/>
      <c r="H81" s="428"/>
      <c r="I81" s="428"/>
      <c r="J81" s="428"/>
      <c r="K81" s="136"/>
      <c r="L81" s="17"/>
      <c r="M81" s="428"/>
      <c r="N81" s="428"/>
      <c r="O81" s="428"/>
      <c r="P81" s="428"/>
      <c r="Q81" s="428"/>
      <c r="R81" s="428"/>
      <c r="S81" s="428"/>
      <c r="T81" s="428"/>
      <c r="U81" s="428"/>
      <c r="V81" s="17"/>
      <c r="W81" s="4"/>
      <c r="X81" s="4"/>
      <c r="Y81" s="4"/>
      <c r="Z81" s="4"/>
      <c r="AA81" s="4"/>
      <c r="AB81" s="4"/>
      <c r="AC81" s="4"/>
      <c r="AD81" s="4"/>
      <c r="AE81" s="4"/>
      <c r="AF81" s="4"/>
    </row>
    <row r="82" spans="1:32" ht="13.95" customHeight="1" x14ac:dyDescent="0.15">
      <c r="A82" s="136"/>
      <c r="B82" s="428"/>
      <c r="C82" s="428"/>
      <c r="D82" s="428"/>
      <c r="E82" s="428"/>
      <c r="F82" s="428"/>
      <c r="G82" s="428"/>
      <c r="H82" s="428"/>
      <c r="I82" s="428"/>
      <c r="J82" s="428"/>
      <c r="K82" s="137"/>
      <c r="L82" s="17"/>
      <c r="M82" s="428"/>
      <c r="N82" s="428"/>
      <c r="O82" s="428"/>
      <c r="P82" s="428"/>
      <c r="Q82" s="428"/>
      <c r="R82" s="428"/>
      <c r="S82" s="428"/>
      <c r="T82" s="428"/>
      <c r="U82" s="428"/>
      <c r="V82" s="17"/>
      <c r="W82" s="4"/>
      <c r="X82" s="4"/>
      <c r="Y82" s="4"/>
      <c r="Z82" s="4"/>
      <c r="AA82" s="4"/>
      <c r="AB82" s="4"/>
      <c r="AC82" s="4"/>
      <c r="AD82" s="4"/>
      <c r="AE82" s="4"/>
      <c r="AF82" s="4"/>
    </row>
    <row r="83" spans="1:32" ht="13.95" customHeight="1" x14ac:dyDescent="0.15">
      <c r="A83" s="137"/>
      <c r="B83" s="424" t="s">
        <v>182</v>
      </c>
      <c r="C83" s="424"/>
      <c r="D83" s="424"/>
      <c r="E83" s="424"/>
      <c r="F83" s="424"/>
      <c r="G83" s="424"/>
      <c r="H83" s="424"/>
      <c r="I83" s="424"/>
      <c r="J83" s="424"/>
      <c r="K83" s="136"/>
      <c r="L83" s="17"/>
      <c r="M83" s="424" t="s">
        <v>54</v>
      </c>
      <c r="N83" s="424"/>
      <c r="O83" s="424"/>
      <c r="P83" s="424"/>
      <c r="Q83" s="424"/>
      <c r="R83" s="424"/>
      <c r="S83" s="424"/>
      <c r="T83" s="424"/>
      <c r="U83" s="424"/>
      <c r="V83" s="17"/>
      <c r="W83" s="4"/>
      <c r="X83" s="4"/>
      <c r="Y83" s="4"/>
      <c r="Z83" s="4"/>
      <c r="AA83" s="4"/>
      <c r="AB83" s="4"/>
      <c r="AC83" s="4"/>
      <c r="AD83" s="4"/>
      <c r="AE83" s="4"/>
      <c r="AF83" s="4"/>
    </row>
    <row r="84" spans="1:32" ht="13.95" customHeight="1" thickBot="1" x14ac:dyDescent="0.2">
      <c r="A84" s="136"/>
      <c r="B84" s="136"/>
      <c r="C84" s="136"/>
      <c r="D84" s="136"/>
      <c r="E84" s="136"/>
      <c r="F84" s="136"/>
      <c r="G84" s="136"/>
      <c r="H84" s="136"/>
      <c r="I84" s="136"/>
      <c r="J84" s="136"/>
      <c r="K84" s="137"/>
      <c r="L84" s="17"/>
      <c r="M84" s="17"/>
      <c r="N84" s="17"/>
      <c r="O84" s="17"/>
      <c r="P84" s="17"/>
      <c r="Q84" s="17"/>
      <c r="R84" s="17"/>
      <c r="S84" s="17"/>
      <c r="T84" s="17"/>
      <c r="U84" s="17"/>
      <c r="V84" s="17"/>
      <c r="W84" s="4"/>
      <c r="X84" s="4"/>
      <c r="Y84" s="4"/>
      <c r="Z84" s="4"/>
      <c r="AA84" s="4"/>
      <c r="AB84" s="4"/>
      <c r="AC84" s="4"/>
      <c r="AD84" s="4"/>
      <c r="AE84" s="4"/>
      <c r="AF84" s="4"/>
    </row>
    <row r="85" spans="1:32" ht="13.95" customHeight="1" x14ac:dyDescent="0.15">
      <c r="A85" s="137"/>
      <c r="B85" s="429" t="s">
        <v>176</v>
      </c>
      <c r="C85" s="429"/>
      <c r="D85" s="429"/>
      <c r="E85" s="429"/>
      <c r="F85" s="429"/>
      <c r="G85" s="138" t="s">
        <v>177</v>
      </c>
      <c r="H85" s="139" t="s">
        <v>448</v>
      </c>
      <c r="I85" s="139" t="s">
        <v>178</v>
      </c>
      <c r="J85" s="140" t="s">
        <v>179</v>
      </c>
      <c r="K85" s="137"/>
      <c r="L85" s="17"/>
      <c r="M85" s="429" t="s">
        <v>176</v>
      </c>
      <c r="N85" s="429"/>
      <c r="O85" s="429"/>
      <c r="P85" s="429"/>
      <c r="Q85" s="429"/>
      <c r="R85" s="430" t="s">
        <v>180</v>
      </c>
      <c r="S85" s="430"/>
      <c r="T85" s="138" t="s">
        <v>177</v>
      </c>
      <c r="U85" s="141" t="s">
        <v>178</v>
      </c>
      <c r="V85" s="17"/>
      <c r="W85" s="4"/>
      <c r="X85" s="4"/>
      <c r="Y85" s="4"/>
      <c r="Z85" s="4"/>
      <c r="AA85" s="4"/>
      <c r="AB85" s="4"/>
      <c r="AC85" s="4"/>
      <c r="AD85" s="4"/>
      <c r="AE85" s="4"/>
      <c r="AF85" s="4"/>
    </row>
    <row r="86" spans="1:32" ht="13.95" customHeight="1" x14ac:dyDescent="0.15">
      <c r="A86" s="136"/>
      <c r="B86" s="513" t="s">
        <v>1063</v>
      </c>
      <c r="C86" s="431"/>
      <c r="D86" s="431"/>
      <c r="E86" s="431"/>
      <c r="F86" s="431"/>
      <c r="G86" s="419" t="s">
        <v>981</v>
      </c>
      <c r="H86" s="432" t="s">
        <v>789</v>
      </c>
      <c r="I86" s="433">
        <v>3</v>
      </c>
      <c r="J86" s="434">
        <v>3</v>
      </c>
      <c r="K86" s="136"/>
      <c r="L86" s="17"/>
      <c r="M86" s="435"/>
      <c r="N86" s="435"/>
      <c r="O86" s="435"/>
      <c r="P86" s="435"/>
      <c r="Q86" s="435"/>
      <c r="R86" s="436" t="s">
        <v>985</v>
      </c>
      <c r="S86" s="436"/>
      <c r="T86" s="419" t="s">
        <v>985</v>
      </c>
      <c r="U86" s="420"/>
      <c r="V86" s="17"/>
      <c r="W86" s="4"/>
      <c r="X86" s="4"/>
      <c r="Y86" s="4"/>
      <c r="Z86" s="4"/>
      <c r="AA86" s="4"/>
      <c r="AB86" s="4"/>
      <c r="AC86" s="4"/>
      <c r="AD86" s="4"/>
      <c r="AE86" s="4"/>
      <c r="AF86" s="4"/>
    </row>
    <row r="87" spans="1:32" ht="13.95" customHeight="1" x14ac:dyDescent="0.15">
      <c r="A87" s="137"/>
      <c r="B87" s="431"/>
      <c r="C87" s="431"/>
      <c r="D87" s="431"/>
      <c r="E87" s="431"/>
      <c r="F87" s="431"/>
      <c r="G87" s="419"/>
      <c r="H87" s="432"/>
      <c r="I87" s="433"/>
      <c r="J87" s="434"/>
      <c r="K87" s="137"/>
      <c r="L87" s="17"/>
      <c r="M87" s="435"/>
      <c r="N87" s="435"/>
      <c r="O87" s="435"/>
      <c r="P87" s="435"/>
      <c r="Q87" s="435"/>
      <c r="R87" s="436"/>
      <c r="S87" s="436"/>
      <c r="T87" s="419"/>
      <c r="U87" s="420"/>
      <c r="V87" s="17"/>
      <c r="W87" s="4"/>
      <c r="X87" s="4"/>
      <c r="Y87" s="4"/>
      <c r="Z87" s="4"/>
      <c r="AA87" s="4"/>
      <c r="AB87" s="4"/>
      <c r="AC87" s="4"/>
      <c r="AD87" s="4"/>
      <c r="AE87" s="4"/>
      <c r="AF87" s="4"/>
    </row>
    <row r="88" spans="1:32" ht="13.95" customHeight="1" x14ac:dyDescent="0.15">
      <c r="A88" s="136"/>
      <c r="B88" s="421" t="s">
        <v>709</v>
      </c>
      <c r="C88" s="421"/>
      <c r="D88" s="421"/>
      <c r="E88" s="422" t="s">
        <v>710</v>
      </c>
      <c r="F88" s="422"/>
      <c r="G88" s="422"/>
      <c r="H88" s="423" t="s">
        <v>711</v>
      </c>
      <c r="I88" s="423"/>
      <c r="J88" s="423"/>
      <c r="K88" s="136"/>
      <c r="L88" s="17"/>
      <c r="M88" s="435"/>
      <c r="N88" s="435"/>
      <c r="O88" s="435"/>
      <c r="P88" s="435"/>
      <c r="Q88" s="435"/>
      <c r="R88" s="436"/>
      <c r="S88" s="436"/>
      <c r="T88" s="419"/>
      <c r="U88" s="420"/>
      <c r="V88" s="17"/>
      <c r="W88" s="4"/>
      <c r="X88" s="4"/>
      <c r="Y88" s="4"/>
      <c r="Z88" s="4"/>
      <c r="AA88" s="4"/>
      <c r="AB88" s="4"/>
      <c r="AC88" s="4"/>
      <c r="AD88" s="4"/>
      <c r="AE88" s="4"/>
      <c r="AF88" s="4"/>
    </row>
    <row r="89" spans="1:32" ht="13.95" customHeight="1" x14ac:dyDescent="0.15">
      <c r="A89" s="137"/>
      <c r="B89" s="425" t="s">
        <v>1015</v>
      </c>
      <c r="C89" s="426" t="s">
        <v>985</v>
      </c>
      <c r="D89" s="426" t="s">
        <v>985</v>
      </c>
      <c r="E89" s="143" t="s">
        <v>741</v>
      </c>
      <c r="F89" s="143" t="s">
        <v>985</v>
      </c>
      <c r="G89" s="143" t="s">
        <v>985</v>
      </c>
      <c r="H89" s="143" t="s">
        <v>985</v>
      </c>
      <c r="I89" s="143" t="s">
        <v>985</v>
      </c>
      <c r="J89" s="144" t="s">
        <v>985</v>
      </c>
      <c r="K89" s="137"/>
      <c r="L89" s="17"/>
      <c r="M89" s="427" t="s">
        <v>181</v>
      </c>
      <c r="N89" s="427"/>
      <c r="O89" s="427"/>
      <c r="P89" s="427"/>
      <c r="Q89" s="427"/>
      <c r="R89" s="427"/>
      <c r="S89" s="427"/>
      <c r="T89" s="427"/>
      <c r="U89" s="427"/>
      <c r="V89" s="17"/>
      <c r="W89" s="4"/>
      <c r="X89" s="4"/>
      <c r="Y89" s="4"/>
      <c r="Z89" s="4"/>
      <c r="AA89" s="4"/>
      <c r="AB89" s="4"/>
      <c r="AC89" s="4"/>
      <c r="AD89" s="4"/>
      <c r="AE89" s="4"/>
      <c r="AF89" s="4"/>
    </row>
    <row r="90" spans="1:32" ht="13.95" customHeight="1" x14ac:dyDescent="0.15">
      <c r="A90" s="136"/>
      <c r="B90" s="425"/>
      <c r="C90" s="426"/>
      <c r="D90" s="426"/>
      <c r="E90" s="143" t="s">
        <v>741</v>
      </c>
      <c r="F90" s="143" t="s">
        <v>985</v>
      </c>
      <c r="G90" s="143" t="s">
        <v>985</v>
      </c>
      <c r="H90" s="143" t="s">
        <v>985</v>
      </c>
      <c r="I90" s="143" t="s">
        <v>985</v>
      </c>
      <c r="J90" s="144" t="s">
        <v>985</v>
      </c>
      <c r="K90" s="136"/>
      <c r="L90" s="17"/>
      <c r="M90" s="428"/>
      <c r="N90" s="428"/>
      <c r="O90" s="428"/>
      <c r="P90" s="428"/>
      <c r="Q90" s="428"/>
      <c r="R90" s="428"/>
      <c r="S90" s="428"/>
      <c r="T90" s="428"/>
      <c r="U90" s="428"/>
      <c r="V90" s="17"/>
      <c r="W90" s="4"/>
      <c r="X90" s="4"/>
      <c r="Y90" s="4"/>
      <c r="Z90" s="4"/>
      <c r="AA90" s="4"/>
      <c r="AB90" s="4"/>
      <c r="AC90" s="4"/>
      <c r="AD90" s="4"/>
      <c r="AE90" s="4"/>
      <c r="AF90" s="4"/>
    </row>
    <row r="91" spans="1:32" ht="13.95" customHeight="1" x14ac:dyDescent="0.15">
      <c r="A91" s="137"/>
      <c r="B91" s="427" t="s">
        <v>181</v>
      </c>
      <c r="C91" s="427"/>
      <c r="D91" s="427"/>
      <c r="E91" s="427"/>
      <c r="F91" s="427"/>
      <c r="G91" s="427"/>
      <c r="H91" s="427"/>
      <c r="I91" s="427"/>
      <c r="J91" s="427"/>
      <c r="K91" s="137"/>
      <c r="L91" s="17"/>
      <c r="M91" s="428"/>
      <c r="N91" s="428"/>
      <c r="O91" s="428"/>
      <c r="P91" s="428"/>
      <c r="Q91" s="428"/>
      <c r="R91" s="428"/>
      <c r="S91" s="428"/>
      <c r="T91" s="428"/>
      <c r="U91" s="428"/>
      <c r="V91" s="17"/>
      <c r="W91" s="4"/>
      <c r="X91" s="4"/>
      <c r="Y91" s="4"/>
      <c r="Z91" s="4"/>
      <c r="AA91" s="4"/>
      <c r="AB91" s="4"/>
      <c r="AC91" s="4"/>
      <c r="AD91" s="4"/>
      <c r="AE91" s="4"/>
      <c r="AF91" s="4"/>
    </row>
    <row r="92" spans="1:32" ht="13.95" customHeight="1" x14ac:dyDescent="0.15">
      <c r="A92" s="136"/>
      <c r="B92" s="428" t="s">
        <v>1061</v>
      </c>
      <c r="C92" s="428"/>
      <c r="D92" s="428"/>
      <c r="E92" s="428"/>
      <c r="F92" s="428"/>
      <c r="G92" s="428"/>
      <c r="H92" s="428"/>
      <c r="I92" s="428"/>
      <c r="J92" s="428"/>
      <c r="K92" s="136"/>
      <c r="L92" s="17"/>
      <c r="M92" s="428"/>
      <c r="N92" s="428"/>
      <c r="O92" s="428"/>
      <c r="P92" s="428"/>
      <c r="Q92" s="428"/>
      <c r="R92" s="428"/>
      <c r="S92" s="428"/>
      <c r="T92" s="428"/>
      <c r="U92" s="428"/>
      <c r="V92" s="17"/>
      <c r="W92" s="4"/>
      <c r="X92" s="4"/>
      <c r="Y92" s="4"/>
      <c r="Z92" s="4"/>
      <c r="AA92" s="4"/>
      <c r="AB92" s="4"/>
      <c r="AC92" s="4"/>
      <c r="AD92" s="4"/>
      <c r="AE92" s="4"/>
      <c r="AF92" s="4"/>
    </row>
    <row r="93" spans="1:32" ht="13.95" customHeight="1" x14ac:dyDescent="0.15">
      <c r="A93" s="137"/>
      <c r="B93" s="428"/>
      <c r="C93" s="428"/>
      <c r="D93" s="428"/>
      <c r="E93" s="428"/>
      <c r="F93" s="428"/>
      <c r="G93" s="428"/>
      <c r="H93" s="428"/>
      <c r="I93" s="428"/>
      <c r="J93" s="428"/>
      <c r="K93" s="137"/>
      <c r="L93" s="17"/>
      <c r="M93" s="428"/>
      <c r="N93" s="428"/>
      <c r="O93" s="428"/>
      <c r="P93" s="428"/>
      <c r="Q93" s="428"/>
      <c r="R93" s="428"/>
      <c r="S93" s="428"/>
      <c r="T93" s="428"/>
      <c r="U93" s="428"/>
      <c r="V93" s="17"/>
      <c r="W93" s="4"/>
      <c r="X93" s="4"/>
      <c r="Y93" s="4"/>
      <c r="Z93" s="4"/>
      <c r="AA93" s="4"/>
      <c r="AB93" s="4"/>
      <c r="AC93" s="4"/>
      <c r="AD93" s="4"/>
      <c r="AE93" s="4"/>
      <c r="AF93" s="4"/>
    </row>
    <row r="94" spans="1:32" ht="13.95" customHeight="1" thickBot="1" x14ac:dyDescent="0.2">
      <c r="A94" s="136"/>
      <c r="B94" s="424" t="s">
        <v>1062</v>
      </c>
      <c r="C94" s="424"/>
      <c r="D94" s="424"/>
      <c r="E94" s="424"/>
      <c r="F94" s="424"/>
      <c r="G94" s="424"/>
      <c r="H94" s="424"/>
      <c r="I94" s="424"/>
      <c r="J94" s="424"/>
      <c r="K94" s="136"/>
      <c r="L94" s="17"/>
      <c r="M94" s="424" t="s">
        <v>54</v>
      </c>
      <c r="N94" s="424"/>
      <c r="O94" s="424"/>
      <c r="P94" s="424"/>
      <c r="Q94" s="424"/>
      <c r="R94" s="424"/>
      <c r="S94" s="424"/>
      <c r="T94" s="424"/>
      <c r="U94" s="424"/>
      <c r="V94" s="17"/>
      <c r="W94" s="4"/>
      <c r="X94" s="4"/>
      <c r="Y94" s="4"/>
      <c r="Z94" s="4"/>
      <c r="AA94" s="4"/>
      <c r="AB94" s="4"/>
      <c r="AC94" s="4"/>
      <c r="AD94" s="4"/>
      <c r="AE94" s="4"/>
      <c r="AF94" s="4"/>
    </row>
    <row r="95" spans="1:32" ht="13.95" customHeight="1" x14ac:dyDescent="0.15">
      <c r="A95" s="137"/>
      <c r="B95" s="137"/>
      <c r="C95" s="137"/>
      <c r="D95" s="137"/>
      <c r="E95" s="137"/>
      <c r="F95" s="137"/>
      <c r="G95" s="137"/>
      <c r="H95" s="137"/>
      <c r="I95" s="137"/>
      <c r="J95" s="137"/>
      <c r="K95" s="136"/>
      <c r="L95" s="17"/>
      <c r="M95" s="17"/>
      <c r="N95" s="17"/>
      <c r="O95" s="17"/>
      <c r="P95" s="17"/>
      <c r="Q95" s="17"/>
      <c r="R95" s="17"/>
      <c r="S95" s="17"/>
      <c r="T95" s="17"/>
      <c r="U95" s="17"/>
      <c r="V95" s="17"/>
      <c r="W95" s="4"/>
      <c r="X95" s="4"/>
      <c r="Y95" s="4"/>
      <c r="Z95" s="4"/>
      <c r="AA95" s="4"/>
      <c r="AB95" s="4"/>
      <c r="AC95" s="4"/>
      <c r="AD95" s="4"/>
      <c r="AE95" s="4"/>
      <c r="AF95" s="4"/>
    </row>
  </sheetData>
  <sheetProtection selectLockedCells="1" selectUnlockedCells="1"/>
  <mergeCells count="200">
    <mergeCell ref="B2:J3"/>
    <mergeCell ref="M2:U5"/>
    <mergeCell ref="B4:C5"/>
    <mergeCell ref="D4:D5"/>
    <mergeCell ref="E4:F5"/>
    <mergeCell ref="G4:G5"/>
    <mergeCell ref="H4:I5"/>
    <mergeCell ref="J4:J5"/>
    <mergeCell ref="B8:F8"/>
    <mergeCell ref="M8:Q8"/>
    <mergeCell ref="R8:S8"/>
    <mergeCell ref="B9:F10"/>
    <mergeCell ref="G9:G10"/>
    <mergeCell ref="H9:H10"/>
    <mergeCell ref="I9:I10"/>
    <mergeCell ref="J9:J10"/>
    <mergeCell ref="M9:Q11"/>
    <mergeCell ref="R9:S11"/>
    <mergeCell ref="B15:J16"/>
    <mergeCell ref="B17:J17"/>
    <mergeCell ref="M17:U17"/>
    <mergeCell ref="M13:U16"/>
    <mergeCell ref="T9:T11"/>
    <mergeCell ref="U9:U11"/>
    <mergeCell ref="B11:D11"/>
    <mergeCell ref="E11:G11"/>
    <mergeCell ref="H11:J11"/>
    <mergeCell ref="B12:B13"/>
    <mergeCell ref="C12:C13"/>
    <mergeCell ref="D12:D13"/>
    <mergeCell ref="B14:J14"/>
    <mergeCell ref="M12:U12"/>
    <mergeCell ref="B19:F19"/>
    <mergeCell ref="M19:Q19"/>
    <mergeCell ref="R19:S19"/>
    <mergeCell ref="U20:U22"/>
    <mergeCell ref="B22:D22"/>
    <mergeCell ref="E22:G22"/>
    <mergeCell ref="H22:J22"/>
    <mergeCell ref="B20:F21"/>
    <mergeCell ref="G20:G21"/>
    <mergeCell ref="H20:H21"/>
    <mergeCell ref="I20:I21"/>
    <mergeCell ref="J20:J21"/>
    <mergeCell ref="M20:Q22"/>
    <mergeCell ref="B23:B24"/>
    <mergeCell ref="C23:C24"/>
    <mergeCell ref="D23:D24"/>
    <mergeCell ref="M23:U23"/>
    <mergeCell ref="M24:U27"/>
    <mergeCell ref="B25:J25"/>
    <mergeCell ref="B26:J27"/>
    <mergeCell ref="R20:S22"/>
    <mergeCell ref="T20:T22"/>
    <mergeCell ref="B28:J28"/>
    <mergeCell ref="M28:U28"/>
    <mergeCell ref="B30:F30"/>
    <mergeCell ref="M30:Q30"/>
    <mergeCell ref="R30:S30"/>
    <mergeCell ref="B31:F32"/>
    <mergeCell ref="G31:G32"/>
    <mergeCell ref="H31:H32"/>
    <mergeCell ref="I31:I32"/>
    <mergeCell ref="J31:J32"/>
    <mergeCell ref="M31:Q33"/>
    <mergeCell ref="R31:S33"/>
    <mergeCell ref="T31:T33"/>
    <mergeCell ref="U31:U33"/>
    <mergeCell ref="B33:D33"/>
    <mergeCell ref="E33:G33"/>
    <mergeCell ref="H33:J33"/>
    <mergeCell ref="B34:B35"/>
    <mergeCell ref="C34:C35"/>
    <mergeCell ref="D34:D35"/>
    <mergeCell ref="M34:U34"/>
    <mergeCell ref="M35:U38"/>
    <mergeCell ref="B36:J36"/>
    <mergeCell ref="B37:J38"/>
    <mergeCell ref="B39:J39"/>
    <mergeCell ref="M39:U39"/>
    <mergeCell ref="B41:F41"/>
    <mergeCell ref="M41:Q41"/>
    <mergeCell ref="R41:S41"/>
    <mergeCell ref="B42:F43"/>
    <mergeCell ref="G42:G43"/>
    <mergeCell ref="H42:H43"/>
    <mergeCell ref="I42:I43"/>
    <mergeCell ref="J42:J43"/>
    <mergeCell ref="M42:Q44"/>
    <mergeCell ref="R42:S44"/>
    <mergeCell ref="T42:T44"/>
    <mergeCell ref="U42:U44"/>
    <mergeCell ref="B44:D44"/>
    <mergeCell ref="E44:G44"/>
    <mergeCell ref="H44:J44"/>
    <mergeCell ref="B45:B46"/>
    <mergeCell ref="C45:C46"/>
    <mergeCell ref="D45:D46"/>
    <mergeCell ref="M45:U45"/>
    <mergeCell ref="M46:U49"/>
    <mergeCell ref="B47:J47"/>
    <mergeCell ref="B48:J49"/>
    <mergeCell ref="B50:J50"/>
    <mergeCell ref="M50:U50"/>
    <mergeCell ref="B52:F52"/>
    <mergeCell ref="M52:Q52"/>
    <mergeCell ref="R52:S52"/>
    <mergeCell ref="B53:F54"/>
    <mergeCell ref="G53:G54"/>
    <mergeCell ref="H53:H54"/>
    <mergeCell ref="I53:I54"/>
    <mergeCell ref="J53:J54"/>
    <mergeCell ref="M53:Q55"/>
    <mergeCell ref="R53:S55"/>
    <mergeCell ref="T53:T55"/>
    <mergeCell ref="U53:U55"/>
    <mergeCell ref="B55:D55"/>
    <mergeCell ref="E55:G55"/>
    <mergeCell ref="H55:J55"/>
    <mergeCell ref="B56:B57"/>
    <mergeCell ref="C56:C57"/>
    <mergeCell ref="D56:D57"/>
    <mergeCell ref="M56:U56"/>
    <mergeCell ref="M57:U60"/>
    <mergeCell ref="B58:J58"/>
    <mergeCell ref="B59:J60"/>
    <mergeCell ref="B61:J61"/>
    <mergeCell ref="M61:U61"/>
    <mergeCell ref="B63:F63"/>
    <mergeCell ref="M63:Q63"/>
    <mergeCell ref="R63:S63"/>
    <mergeCell ref="B64:F65"/>
    <mergeCell ref="G64:G65"/>
    <mergeCell ref="H64:H65"/>
    <mergeCell ref="I64:I65"/>
    <mergeCell ref="J64:J65"/>
    <mergeCell ref="M64:Q66"/>
    <mergeCell ref="R64:S66"/>
    <mergeCell ref="T64:T66"/>
    <mergeCell ref="U64:U66"/>
    <mergeCell ref="B66:D66"/>
    <mergeCell ref="E66:G66"/>
    <mergeCell ref="H66:J66"/>
    <mergeCell ref="B67:B68"/>
    <mergeCell ref="C67:C68"/>
    <mergeCell ref="D67:D68"/>
    <mergeCell ref="M67:U67"/>
    <mergeCell ref="M68:U71"/>
    <mergeCell ref="B69:J69"/>
    <mergeCell ref="B70:J71"/>
    <mergeCell ref="B72:J72"/>
    <mergeCell ref="M72:U72"/>
    <mergeCell ref="B74:F74"/>
    <mergeCell ref="M74:Q74"/>
    <mergeCell ref="R74:S74"/>
    <mergeCell ref="B75:F76"/>
    <mergeCell ref="G75:G76"/>
    <mergeCell ref="H75:H76"/>
    <mergeCell ref="I75:I76"/>
    <mergeCell ref="J75:J76"/>
    <mergeCell ref="M75:Q77"/>
    <mergeCell ref="R75:S77"/>
    <mergeCell ref="T75:T77"/>
    <mergeCell ref="U75:U77"/>
    <mergeCell ref="B77:D77"/>
    <mergeCell ref="E77:G77"/>
    <mergeCell ref="H77:J77"/>
    <mergeCell ref="B78:B79"/>
    <mergeCell ref="C78:C79"/>
    <mergeCell ref="D78:D79"/>
    <mergeCell ref="M78:U78"/>
    <mergeCell ref="M79:U82"/>
    <mergeCell ref="B80:J80"/>
    <mergeCell ref="B81:J82"/>
    <mergeCell ref="B83:J83"/>
    <mergeCell ref="M83:U83"/>
    <mergeCell ref="B85:F85"/>
    <mergeCell ref="M85:Q85"/>
    <mergeCell ref="R85:S85"/>
    <mergeCell ref="B86:F87"/>
    <mergeCell ref="G86:G87"/>
    <mergeCell ref="H86:H87"/>
    <mergeCell ref="I86:I87"/>
    <mergeCell ref="J86:J87"/>
    <mergeCell ref="M86:Q88"/>
    <mergeCell ref="R86:S88"/>
    <mergeCell ref="T86:T88"/>
    <mergeCell ref="U86:U88"/>
    <mergeCell ref="B88:D88"/>
    <mergeCell ref="E88:G88"/>
    <mergeCell ref="H88:J88"/>
    <mergeCell ref="B94:J94"/>
    <mergeCell ref="M94:U94"/>
    <mergeCell ref="B89:B90"/>
    <mergeCell ref="C89:C90"/>
    <mergeCell ref="D89:D90"/>
    <mergeCell ref="M89:U89"/>
    <mergeCell ref="M90:U93"/>
    <mergeCell ref="B91:J91"/>
    <mergeCell ref="B92:J93"/>
  </mergeCells>
  <phoneticPr fontId="53"/>
  <dataValidations count="1">
    <dataValidation type="list" operator="equal" sqref="G9 T9 G42 T86 T31 G31 T42 G86 T53 G64 T64 G75 T75 G20 T20 G53" xr:uid="{00000000-0002-0000-0200-000000000000}">
      <formula1>"－,近,中,遠,遠近両用"</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200-000001000000}">
          <x14:formula1>
            <xm:f>リスト!$Z$2:$Z$16</xm:f>
          </x14:formula1>
          <x14:formula2>
            <xm:f>0</xm:f>
          </x14:formula2>
          <xm:sqref>H12:J13 H45:J46 H34:J35 H89:J90 H67:J68 H78:J79 H23:J24 H56:J57</xm:sqref>
        </x14:dataValidation>
        <x14:dataValidation type="list" operator="equal" allowBlank="1" xr:uid="{00000000-0002-0000-0200-000002000000}">
          <x14:formula1>
            <xm:f>リスト!$V$2:$V$8</xm:f>
          </x14:formula1>
          <x14:formula2>
            <xm:f>0</xm:f>
          </x14:formula2>
          <xm:sqref>B12:D12 B45:D45 B34:D34 B89:D89 B67:D67 B78:D78 B23:D23 B56:D56</xm:sqref>
        </x14:dataValidation>
        <x14:dataValidation type="list" operator="equal" allowBlank="1" xr:uid="{00000000-0002-0000-0200-000003000000}">
          <x14:formula1>
            <xm:f>リスト!$T$26:$T$33</xm:f>
          </x14:formula1>
          <x14:formula2>
            <xm:f>0</xm:f>
          </x14:formula2>
          <xm:sqref>H9 H42 H31 H86 H64 H75 H20 H53</xm:sqref>
        </x14:dataValidation>
        <x14:dataValidation type="list" operator="equal" allowBlank="1" xr:uid="{00000000-0002-0000-0200-000004000000}">
          <x14:formula1>
            <xm:f>リスト!$X$2:$X$46</xm:f>
          </x14:formula1>
          <x14:formula2>
            <xm:f>0</xm:f>
          </x14:formula2>
          <xm:sqref>E12:G13 E45:G46 E34:G35 E89:G90 E67:G68 E78:G79 E23:G24 E56:G57</xm:sqref>
        </x14:dataValidation>
        <x14:dataValidation type="list" operator="equal" allowBlank="1" xr:uid="{00000000-0002-0000-0200-000005000000}">
          <x14:formula1>
            <xm:f>リスト!$BC$2:$BC$153</xm:f>
          </x14:formula1>
          <x14:formula2>
            <xm:f>0</xm:f>
          </x14:formula2>
          <xm:sqref>S9:S11 T11 T88 S86:S88 S31:S33 T33 S42:S44 T44 S53:S55 T55 S64:S66 T66 S75:S77 T77 S20:S22 T22</xm:sqref>
        </x14:dataValidation>
        <x14:dataValidation type="list" operator="equal" allowBlank="1" xr:uid="{00000000-0002-0000-0200-000006000000}">
          <x14:formula1>
            <xm:f>リスト!$BC$2:$BC$156</xm:f>
          </x14:formula1>
          <x14:formula2>
            <xm:f>0</xm:f>
          </x14:formula2>
          <xm:sqref>R9 R86 R31 R42 R53 R64 R75 R20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62"/>
  <sheetViews>
    <sheetView workbookViewId="0"/>
  </sheetViews>
  <sheetFormatPr defaultColWidth="10.109375" defaultRowHeight="13.95" customHeight="1" x14ac:dyDescent="0.15"/>
  <cols>
    <col min="1" max="16384" width="10.109375" style="145"/>
  </cols>
  <sheetData>
    <row r="1" spans="1:30" ht="13.95" customHeight="1" x14ac:dyDescent="0.15">
      <c r="A1" s="146"/>
      <c r="B1" s="147"/>
      <c r="C1" s="147"/>
      <c r="D1" s="147"/>
      <c r="E1" s="147"/>
      <c r="F1" s="147"/>
      <c r="G1" s="147"/>
      <c r="H1" s="147"/>
      <c r="I1" s="147"/>
      <c r="J1" s="147"/>
      <c r="K1" s="147"/>
      <c r="L1" s="147"/>
      <c r="M1" s="147"/>
      <c r="N1" s="148"/>
      <c r="O1" s="136"/>
      <c r="P1" s="136"/>
      <c r="Q1" s="136"/>
      <c r="R1" s="136"/>
      <c r="S1" s="136"/>
      <c r="T1" s="136"/>
      <c r="U1" s="136"/>
      <c r="V1" s="136"/>
      <c r="W1" s="136"/>
      <c r="X1" s="136"/>
      <c r="Y1" s="136"/>
      <c r="Z1" s="4"/>
      <c r="AA1" s="4"/>
      <c r="AB1" s="4"/>
      <c r="AC1" s="4"/>
      <c r="AD1" s="4"/>
    </row>
    <row r="2" spans="1:30" ht="13.95" customHeight="1" x14ac:dyDescent="0.15">
      <c r="A2" s="147"/>
      <c r="B2" s="454" t="s">
        <v>55</v>
      </c>
      <c r="C2" s="454"/>
      <c r="D2" s="455"/>
      <c r="E2" s="455"/>
      <c r="F2" s="455"/>
      <c r="G2" s="455"/>
      <c r="H2" s="455"/>
      <c r="I2" s="456" t="s">
        <v>56</v>
      </c>
      <c r="J2" s="456"/>
      <c r="K2" s="457" t="s">
        <v>985</v>
      </c>
      <c r="L2" s="457"/>
      <c r="M2" s="457"/>
      <c r="N2" s="148"/>
      <c r="O2" s="136"/>
      <c r="P2" s="437" t="s">
        <v>172</v>
      </c>
      <c r="Q2" s="437"/>
      <c r="R2" s="437"/>
      <c r="S2" s="437"/>
      <c r="T2" s="437"/>
      <c r="U2" s="437"/>
      <c r="V2" s="437"/>
      <c r="W2" s="437"/>
      <c r="X2" s="437"/>
      <c r="Y2" s="136"/>
      <c r="Z2" s="4"/>
      <c r="AA2" s="4"/>
      <c r="AB2" s="4"/>
      <c r="AC2" s="4"/>
      <c r="AD2" s="4"/>
    </row>
    <row r="3" spans="1:30" ht="13.95" customHeight="1" x14ac:dyDescent="0.15">
      <c r="A3" s="147"/>
      <c r="B3" s="454"/>
      <c r="C3" s="454"/>
      <c r="D3" s="455"/>
      <c r="E3" s="455"/>
      <c r="F3" s="455"/>
      <c r="G3" s="455"/>
      <c r="H3" s="455"/>
      <c r="I3" s="456"/>
      <c r="J3" s="456"/>
      <c r="K3" s="457"/>
      <c r="L3" s="457"/>
      <c r="M3" s="457"/>
      <c r="N3" s="148"/>
      <c r="O3" s="136"/>
      <c r="P3" s="437"/>
      <c r="Q3" s="437"/>
      <c r="R3" s="437"/>
      <c r="S3" s="437"/>
      <c r="T3" s="437"/>
      <c r="U3" s="437"/>
      <c r="V3" s="437"/>
      <c r="W3" s="437"/>
      <c r="X3" s="437"/>
      <c r="Y3" s="136"/>
      <c r="Z3" s="4"/>
      <c r="AA3" s="4"/>
      <c r="AB3" s="4"/>
      <c r="AC3" s="4"/>
      <c r="AD3" s="4"/>
    </row>
    <row r="4" spans="1:30" ht="13.95" customHeight="1" x14ac:dyDescent="0.15">
      <c r="A4" s="147"/>
      <c r="B4" s="147"/>
      <c r="C4" s="147"/>
      <c r="D4" s="147"/>
      <c r="E4" s="147"/>
      <c r="F4" s="147"/>
      <c r="G4" s="147"/>
      <c r="H4" s="147"/>
      <c r="I4" s="147"/>
      <c r="J4" s="147"/>
      <c r="K4" s="147"/>
      <c r="L4" s="147"/>
      <c r="M4" s="147"/>
      <c r="N4" s="148"/>
      <c r="O4" s="136"/>
      <c r="P4" s="438" t="s">
        <v>103</v>
      </c>
      <c r="Q4" s="438"/>
      <c r="R4" s="439">
        <f>F23</f>
        <v>3</v>
      </c>
      <c r="S4" s="440" t="s">
        <v>174</v>
      </c>
      <c r="T4" s="440"/>
      <c r="U4" s="439">
        <f>ROUNDDOWN((C23)/2,0)</f>
        <v>6</v>
      </c>
      <c r="V4" s="440" t="s">
        <v>175</v>
      </c>
      <c r="W4" s="440"/>
      <c r="X4" s="441">
        <f>ROUNDDOWN((C23)/3,0)</f>
        <v>4</v>
      </c>
      <c r="Y4" s="136"/>
      <c r="Z4" s="4"/>
      <c r="AA4" s="4"/>
      <c r="AB4" s="4"/>
      <c r="AC4" s="4"/>
      <c r="AD4" s="4"/>
    </row>
    <row r="5" spans="1:30" ht="13.95" customHeight="1" x14ac:dyDescent="0.15">
      <c r="A5" s="147"/>
      <c r="B5" s="454" t="s">
        <v>57</v>
      </c>
      <c r="C5" s="454"/>
      <c r="D5" s="458">
        <v>0</v>
      </c>
      <c r="E5" s="148"/>
      <c r="F5" s="454" t="s">
        <v>58</v>
      </c>
      <c r="G5" s="454"/>
      <c r="H5" s="459">
        <f>C23</f>
        <v>12</v>
      </c>
      <c r="I5" s="459">
        <f>IF(L2="探索型",ROUNDDOWN(D23/3,0)+D23,D23)</f>
        <v>0</v>
      </c>
      <c r="J5" s="456" t="s">
        <v>59</v>
      </c>
      <c r="K5" s="456"/>
      <c r="L5" s="460" t="s">
        <v>985</v>
      </c>
      <c r="M5" s="460"/>
      <c r="N5" s="148"/>
      <c r="O5" s="137"/>
      <c r="P5" s="438"/>
      <c r="Q5" s="438"/>
      <c r="R5" s="439"/>
      <c r="S5" s="440"/>
      <c r="T5" s="440"/>
      <c r="U5" s="439"/>
      <c r="V5" s="440"/>
      <c r="W5" s="440"/>
      <c r="X5" s="441"/>
      <c r="Y5" s="136"/>
      <c r="Z5" s="4"/>
      <c r="AA5" s="4"/>
      <c r="AB5" s="4"/>
      <c r="AC5" s="4"/>
      <c r="AD5" s="4"/>
    </row>
    <row r="6" spans="1:30" ht="13.95" customHeight="1" x14ac:dyDescent="0.15">
      <c r="A6" s="147"/>
      <c r="B6" s="454"/>
      <c r="C6" s="454"/>
      <c r="D6" s="458"/>
      <c r="E6" s="148"/>
      <c r="F6" s="454"/>
      <c r="G6" s="454"/>
      <c r="H6" s="459"/>
      <c r="I6" s="459"/>
      <c r="J6" s="456"/>
      <c r="K6" s="456"/>
      <c r="L6" s="460"/>
      <c r="M6" s="460"/>
      <c r="N6" s="148"/>
      <c r="O6" s="137"/>
      <c r="P6" s="137"/>
      <c r="Q6" s="137"/>
      <c r="R6" s="137"/>
      <c r="S6" s="137"/>
      <c r="T6" s="137"/>
      <c r="U6" s="137"/>
      <c r="V6" s="137"/>
      <c r="W6" s="137"/>
      <c r="X6" s="137"/>
      <c r="Y6" s="136"/>
      <c r="Z6" s="4"/>
      <c r="AA6" s="4"/>
      <c r="AB6" s="4"/>
      <c r="AC6" s="4"/>
      <c r="AD6" s="4"/>
    </row>
    <row r="7" spans="1:30" ht="13.95" customHeight="1" x14ac:dyDescent="0.15">
      <c r="A7" s="147"/>
      <c r="B7" s="147"/>
      <c r="C7" s="147"/>
      <c r="D7" s="147"/>
      <c r="E7" s="147"/>
      <c r="F7" s="147"/>
      <c r="G7" s="147"/>
      <c r="H7" s="148"/>
      <c r="I7" s="147"/>
      <c r="J7" s="147"/>
      <c r="K7" s="147"/>
      <c r="L7" s="147"/>
      <c r="M7" s="147"/>
      <c r="N7" s="148"/>
      <c r="O7" s="136"/>
      <c r="P7" s="136"/>
      <c r="Q7" s="136"/>
      <c r="R7" s="136"/>
      <c r="S7" s="136"/>
      <c r="T7" s="136"/>
      <c r="U7" s="136"/>
      <c r="V7" s="136"/>
      <c r="W7" s="136"/>
      <c r="X7" s="136"/>
      <c r="Y7" s="136"/>
      <c r="Z7" s="4"/>
      <c r="AA7" s="4"/>
      <c r="AB7" s="4"/>
      <c r="AC7" s="4"/>
      <c r="AD7" s="4"/>
    </row>
    <row r="8" spans="1:30" ht="13.95" customHeight="1" x14ac:dyDescent="0.15">
      <c r="A8" s="147"/>
      <c r="B8" s="449" t="s">
        <v>310</v>
      </c>
      <c r="C8" s="449"/>
      <c r="D8" s="449"/>
      <c r="E8" s="147"/>
      <c r="F8" s="450" t="s">
        <v>60</v>
      </c>
      <c r="G8" s="450"/>
      <c r="H8" s="148"/>
      <c r="I8" s="451" t="s">
        <v>61</v>
      </c>
      <c r="J8" s="451"/>
      <c r="K8" s="451"/>
      <c r="L8" s="451"/>
      <c r="M8" s="451"/>
      <c r="N8" s="148"/>
      <c r="O8" s="136"/>
      <c r="P8" s="429" t="s">
        <v>176</v>
      </c>
      <c r="Q8" s="429"/>
      <c r="R8" s="429"/>
      <c r="S8" s="429"/>
      <c r="T8" s="429"/>
      <c r="U8" s="138" t="s">
        <v>177</v>
      </c>
      <c r="V8" s="139" t="s">
        <v>448</v>
      </c>
      <c r="W8" s="139" t="s">
        <v>178</v>
      </c>
      <c r="X8" s="140" t="s">
        <v>179</v>
      </c>
      <c r="Y8" s="137"/>
      <c r="Z8" s="4"/>
      <c r="AA8" s="4"/>
      <c r="AB8" s="4"/>
      <c r="AC8" s="4"/>
      <c r="AD8" s="4"/>
    </row>
    <row r="9" spans="1:30" ht="13.95" customHeight="1" x14ac:dyDescent="0.15">
      <c r="A9" s="147"/>
      <c r="B9" s="149"/>
      <c r="C9" s="150"/>
      <c r="D9" s="151" t="s">
        <v>62</v>
      </c>
      <c r="E9" s="147"/>
      <c r="F9" s="450"/>
      <c r="G9" s="450"/>
      <c r="H9" s="148"/>
      <c r="I9" s="452"/>
      <c r="J9" s="452"/>
      <c r="K9" s="452"/>
      <c r="L9" s="452"/>
      <c r="M9" s="452"/>
      <c r="N9" s="148"/>
      <c r="O9" s="136"/>
      <c r="P9" s="431"/>
      <c r="Q9" s="431"/>
      <c r="R9" s="431"/>
      <c r="S9" s="431"/>
      <c r="T9" s="431"/>
      <c r="U9" s="419" t="s">
        <v>985</v>
      </c>
      <c r="V9" s="432" t="s">
        <v>985</v>
      </c>
      <c r="W9" s="433"/>
      <c r="X9" s="434"/>
      <c r="Y9" s="136"/>
      <c r="Z9" s="4"/>
      <c r="AA9" s="4"/>
      <c r="AB9" s="4"/>
      <c r="AC9" s="4"/>
      <c r="AD9" s="4"/>
    </row>
    <row r="10" spans="1:30" ht="13.95" customHeight="1" x14ac:dyDescent="0.15">
      <c r="A10" s="147"/>
      <c r="B10" s="78" t="s">
        <v>76</v>
      </c>
      <c r="C10" s="152">
        <f>D5</f>
        <v>0</v>
      </c>
      <c r="D10" s="153"/>
      <c r="E10" s="147"/>
      <c r="F10" s="78" t="s">
        <v>63</v>
      </c>
      <c r="G10" s="154">
        <f>F23</f>
        <v>3</v>
      </c>
      <c r="H10" s="148"/>
      <c r="I10" s="452"/>
      <c r="J10" s="452"/>
      <c r="K10" s="452"/>
      <c r="L10" s="452"/>
      <c r="M10" s="452"/>
      <c r="N10" s="148"/>
      <c r="O10" s="137"/>
      <c r="P10" s="431"/>
      <c r="Q10" s="431"/>
      <c r="R10" s="431"/>
      <c r="S10" s="431"/>
      <c r="T10" s="431"/>
      <c r="U10" s="419"/>
      <c r="V10" s="432"/>
      <c r="W10" s="433"/>
      <c r="X10" s="434"/>
      <c r="Y10" s="137"/>
      <c r="Z10" s="4"/>
      <c r="AA10" s="4"/>
      <c r="AB10" s="4"/>
      <c r="AC10" s="4"/>
      <c r="AD10" s="4"/>
    </row>
    <row r="11" spans="1:30" ht="13.95" customHeight="1" x14ac:dyDescent="0.15">
      <c r="A11" s="147"/>
      <c r="B11" s="78" t="s">
        <v>161</v>
      </c>
      <c r="C11" s="152">
        <f>D5</f>
        <v>0</v>
      </c>
      <c r="D11" s="153"/>
      <c r="E11" s="147"/>
      <c r="F11" s="142"/>
      <c r="G11" s="144"/>
      <c r="H11" s="148"/>
      <c r="I11" s="452"/>
      <c r="J11" s="452"/>
      <c r="K11" s="452"/>
      <c r="L11" s="452"/>
      <c r="M11" s="452"/>
      <c r="N11" s="148"/>
      <c r="O11" s="136"/>
      <c r="P11" s="421" t="s">
        <v>709</v>
      </c>
      <c r="Q11" s="421"/>
      <c r="R11" s="421"/>
      <c r="S11" s="422" t="s">
        <v>710</v>
      </c>
      <c r="T11" s="422"/>
      <c r="U11" s="422"/>
      <c r="V11" s="423" t="s">
        <v>711</v>
      </c>
      <c r="W11" s="423"/>
      <c r="X11" s="423"/>
      <c r="Y11" s="136"/>
      <c r="Z11" s="4"/>
      <c r="AA11" s="4"/>
      <c r="AB11" s="4"/>
      <c r="AC11" s="4"/>
      <c r="AD11" s="4"/>
    </row>
    <row r="12" spans="1:30" ht="13.95" customHeight="1" x14ac:dyDescent="0.15">
      <c r="A12" s="147"/>
      <c r="B12" s="78" t="s">
        <v>350</v>
      </c>
      <c r="C12" s="152">
        <f>D5</f>
        <v>0</v>
      </c>
      <c r="D12" s="153"/>
      <c r="E12" s="147"/>
      <c r="F12" s="142"/>
      <c r="G12" s="144"/>
      <c r="H12" s="148"/>
      <c r="I12" s="452"/>
      <c r="J12" s="452"/>
      <c r="K12" s="452"/>
      <c r="L12" s="452"/>
      <c r="M12" s="452"/>
      <c r="N12" s="148"/>
      <c r="O12" s="137"/>
      <c r="P12" s="425" t="s">
        <v>985</v>
      </c>
      <c r="Q12" s="426" t="s">
        <v>985</v>
      </c>
      <c r="R12" s="426" t="s">
        <v>985</v>
      </c>
      <c r="S12" s="143" t="s">
        <v>985</v>
      </c>
      <c r="T12" s="143" t="s">
        <v>985</v>
      </c>
      <c r="U12" s="143" t="s">
        <v>985</v>
      </c>
      <c r="V12" s="143" t="s">
        <v>985</v>
      </c>
      <c r="W12" s="143" t="s">
        <v>985</v>
      </c>
      <c r="X12" s="144" t="s">
        <v>985</v>
      </c>
      <c r="Y12" s="137"/>
      <c r="Z12" s="4"/>
      <c r="AA12" s="4"/>
      <c r="AB12" s="4"/>
      <c r="AC12" s="4"/>
      <c r="AD12" s="4"/>
    </row>
    <row r="13" spans="1:30" ht="13.95" customHeight="1" x14ac:dyDescent="0.15">
      <c r="A13" s="147"/>
      <c r="B13" s="78" t="s">
        <v>357</v>
      </c>
      <c r="C13" s="152">
        <f>D5</f>
        <v>0</v>
      </c>
      <c r="D13" s="153"/>
      <c r="E13" s="147"/>
      <c r="F13" s="142"/>
      <c r="G13" s="144"/>
      <c r="H13" s="148"/>
      <c r="I13" s="452"/>
      <c r="J13" s="452"/>
      <c r="K13" s="452"/>
      <c r="L13" s="452"/>
      <c r="M13" s="452"/>
      <c r="N13" s="148"/>
      <c r="O13" s="136"/>
      <c r="P13" s="425"/>
      <c r="Q13" s="426"/>
      <c r="R13" s="426"/>
      <c r="S13" s="143" t="s">
        <v>985</v>
      </c>
      <c r="T13" s="143" t="s">
        <v>985</v>
      </c>
      <c r="U13" s="143" t="s">
        <v>985</v>
      </c>
      <c r="V13" s="143" t="s">
        <v>985</v>
      </c>
      <c r="W13" s="143" t="s">
        <v>985</v>
      </c>
      <c r="X13" s="144" t="s">
        <v>985</v>
      </c>
      <c r="Y13" s="136"/>
      <c r="Z13" s="4"/>
      <c r="AA13" s="4"/>
      <c r="AB13" s="4"/>
      <c r="AC13" s="4"/>
      <c r="AD13" s="4"/>
    </row>
    <row r="14" spans="1:30" ht="13.95" customHeight="1" x14ac:dyDescent="0.15">
      <c r="A14" s="147"/>
      <c r="B14" s="78" t="s">
        <v>95</v>
      </c>
      <c r="C14" s="152">
        <f>IF(K2="攻撃型",ROUNDDOWN(C23/3,0),0)</f>
        <v>0</v>
      </c>
      <c r="D14" s="153"/>
      <c r="E14" s="147"/>
      <c r="F14" s="142"/>
      <c r="G14" s="144"/>
      <c r="H14" s="148"/>
      <c r="I14" s="452"/>
      <c r="J14" s="452"/>
      <c r="K14" s="452"/>
      <c r="L14" s="452"/>
      <c r="M14" s="452"/>
      <c r="N14" s="148"/>
      <c r="O14" s="137"/>
      <c r="P14" s="427" t="s">
        <v>181</v>
      </c>
      <c r="Q14" s="427"/>
      <c r="R14" s="427"/>
      <c r="S14" s="427"/>
      <c r="T14" s="427"/>
      <c r="U14" s="427"/>
      <c r="V14" s="427"/>
      <c r="W14" s="427"/>
      <c r="X14" s="427"/>
      <c r="Y14" s="137"/>
      <c r="Z14" s="4"/>
      <c r="AA14" s="4"/>
      <c r="AB14" s="4"/>
      <c r="AC14" s="4"/>
      <c r="AD14" s="4"/>
    </row>
    <row r="15" spans="1:30" ht="13.95" customHeight="1" x14ac:dyDescent="0.15">
      <c r="A15" s="147"/>
      <c r="B15" s="78" t="s">
        <v>100</v>
      </c>
      <c r="C15" s="152">
        <f>IF(K2="攻撃型",ROUNDDOWN(C23/3,0),0)</f>
        <v>0</v>
      </c>
      <c r="D15" s="153"/>
      <c r="E15" s="147"/>
      <c r="F15" s="142"/>
      <c r="G15" s="144"/>
      <c r="H15" s="148"/>
      <c r="I15" s="452"/>
      <c r="J15" s="452"/>
      <c r="K15" s="452"/>
      <c r="L15" s="452"/>
      <c r="M15" s="452"/>
      <c r="N15" s="148"/>
      <c r="O15" s="136"/>
      <c r="P15" s="428"/>
      <c r="Q15" s="428"/>
      <c r="R15" s="428"/>
      <c r="S15" s="428"/>
      <c r="T15" s="428"/>
      <c r="U15" s="428"/>
      <c r="V15" s="428"/>
      <c r="W15" s="428"/>
      <c r="X15" s="428"/>
      <c r="Y15" s="136"/>
      <c r="Z15" s="4"/>
      <c r="AA15" s="4"/>
      <c r="AB15" s="4"/>
      <c r="AC15" s="4"/>
      <c r="AD15" s="4"/>
    </row>
    <row r="16" spans="1:30" ht="13.95" customHeight="1" x14ac:dyDescent="0.15">
      <c r="A16" s="147"/>
      <c r="B16" s="80" t="s">
        <v>102</v>
      </c>
      <c r="C16" s="155">
        <f>D5</f>
        <v>0</v>
      </c>
      <c r="D16" s="156"/>
      <c r="E16" s="147"/>
      <c r="F16" s="157"/>
      <c r="G16" s="158"/>
      <c r="H16" s="148"/>
      <c r="I16" s="452"/>
      <c r="J16" s="452"/>
      <c r="K16" s="452"/>
      <c r="L16" s="452"/>
      <c r="M16" s="452"/>
      <c r="N16" s="148"/>
      <c r="O16" s="137"/>
      <c r="P16" s="428"/>
      <c r="Q16" s="428"/>
      <c r="R16" s="428"/>
      <c r="S16" s="428"/>
      <c r="T16" s="428"/>
      <c r="U16" s="428"/>
      <c r="V16" s="428"/>
      <c r="W16" s="428"/>
      <c r="X16" s="428"/>
      <c r="Y16" s="137"/>
      <c r="Z16" s="4"/>
      <c r="AA16" s="4"/>
      <c r="AB16" s="4"/>
      <c r="AC16" s="4"/>
      <c r="AD16" s="4"/>
    </row>
    <row r="17" spans="1:30" ht="13.95" customHeight="1" x14ac:dyDescent="0.15">
      <c r="A17" s="147"/>
      <c r="B17" s="147"/>
      <c r="C17" s="147"/>
      <c r="D17" s="147"/>
      <c r="E17" s="159"/>
      <c r="F17" s="159"/>
      <c r="G17" s="159"/>
      <c r="H17" s="147"/>
      <c r="I17" s="452"/>
      <c r="J17" s="452"/>
      <c r="K17" s="452"/>
      <c r="L17" s="452"/>
      <c r="M17" s="452"/>
      <c r="N17" s="148"/>
      <c r="O17" s="137"/>
      <c r="P17" s="424" t="s">
        <v>182</v>
      </c>
      <c r="Q17" s="424"/>
      <c r="R17" s="424"/>
      <c r="S17" s="424"/>
      <c r="T17" s="424"/>
      <c r="U17" s="424"/>
      <c r="V17" s="424"/>
      <c r="W17" s="424"/>
      <c r="X17" s="424"/>
      <c r="Y17" s="136"/>
      <c r="Z17" s="4"/>
      <c r="AA17" s="4"/>
      <c r="AB17" s="4"/>
      <c r="AC17" s="4"/>
      <c r="AD17" s="4"/>
    </row>
    <row r="18" spans="1:30" ht="13.95" customHeight="1" x14ac:dyDescent="0.15">
      <c r="A18" s="147"/>
      <c r="B18" s="453" t="s">
        <v>108</v>
      </c>
      <c r="C18" s="453"/>
      <c r="D18" s="161" t="s">
        <v>64</v>
      </c>
      <c r="E18" s="147"/>
      <c r="F18" s="160" t="s">
        <v>65</v>
      </c>
      <c r="G18" s="162" t="s">
        <v>66</v>
      </c>
      <c r="H18" s="148"/>
      <c r="I18" s="452"/>
      <c r="J18" s="452"/>
      <c r="K18" s="452"/>
      <c r="L18" s="452"/>
      <c r="M18" s="452"/>
      <c r="N18" s="148"/>
      <c r="O18" s="136"/>
      <c r="P18" s="136"/>
      <c r="Q18" s="136"/>
      <c r="R18" s="136"/>
      <c r="S18" s="136"/>
      <c r="T18" s="136"/>
      <c r="U18" s="136"/>
      <c r="V18" s="136"/>
      <c r="W18" s="136"/>
      <c r="X18" s="136"/>
      <c r="Y18" s="137"/>
      <c r="Z18" s="4"/>
      <c r="AA18" s="4"/>
      <c r="AB18" s="4"/>
      <c r="AC18" s="4"/>
      <c r="AD18" s="4"/>
    </row>
    <row r="19" spans="1:30" ht="13.95" customHeight="1" x14ac:dyDescent="0.15">
      <c r="A19" s="147"/>
      <c r="B19" s="163">
        <f>キャラシート!G35</f>
        <v>5</v>
      </c>
      <c r="C19" s="164">
        <f>キャラシート!H35</f>
        <v>0</v>
      </c>
      <c r="D19" s="165">
        <f>IF(K2="攻撃型",ROUNDDOWN(C23/3,0),0)</f>
        <v>0</v>
      </c>
      <c r="E19" s="159"/>
      <c r="F19" s="166" t="str">
        <f>IF(K2="速度型","2D6","1D6")</f>
        <v>1D6</v>
      </c>
      <c r="G19" s="167" t="str">
        <f>IF(K2="探索型","2D6","1D6")</f>
        <v>1D6</v>
      </c>
      <c r="H19" s="148"/>
      <c r="I19" s="452"/>
      <c r="J19" s="452"/>
      <c r="K19" s="452"/>
      <c r="L19" s="452"/>
      <c r="M19" s="452"/>
      <c r="N19" s="148"/>
      <c r="O19" s="137"/>
      <c r="P19" s="429" t="s">
        <v>176</v>
      </c>
      <c r="Q19" s="429"/>
      <c r="R19" s="429"/>
      <c r="S19" s="429"/>
      <c r="T19" s="429"/>
      <c r="U19" s="138" t="s">
        <v>177</v>
      </c>
      <c r="V19" s="139" t="s">
        <v>448</v>
      </c>
      <c r="W19" s="139" t="s">
        <v>178</v>
      </c>
      <c r="X19" s="140" t="s">
        <v>179</v>
      </c>
      <c r="Y19" s="136"/>
      <c r="Z19" s="4"/>
      <c r="AA19" s="4"/>
      <c r="AB19" s="4"/>
      <c r="AC19" s="4"/>
      <c r="AD19" s="4"/>
    </row>
    <row r="20" spans="1:30" ht="13.95" customHeight="1" x14ac:dyDescent="0.15">
      <c r="A20" s="159"/>
      <c r="B20" s="159"/>
      <c r="C20" s="159"/>
      <c r="D20" s="159"/>
      <c r="E20" s="159"/>
      <c r="F20" s="159"/>
      <c r="G20" s="147"/>
      <c r="H20" s="148"/>
      <c r="I20" s="452"/>
      <c r="J20" s="452"/>
      <c r="K20" s="452"/>
      <c r="L20" s="452"/>
      <c r="M20" s="452"/>
      <c r="N20" s="148"/>
      <c r="O20" s="136"/>
      <c r="P20" s="431"/>
      <c r="Q20" s="431"/>
      <c r="R20" s="431"/>
      <c r="S20" s="431"/>
      <c r="T20" s="431"/>
      <c r="U20" s="419" t="s">
        <v>985</v>
      </c>
      <c r="V20" s="432" t="s">
        <v>985</v>
      </c>
      <c r="W20" s="433"/>
      <c r="X20" s="434"/>
      <c r="Y20" s="137"/>
      <c r="Z20" s="4"/>
      <c r="AA20" s="4"/>
      <c r="AB20" s="4"/>
      <c r="AC20" s="4"/>
      <c r="AD20" s="4"/>
    </row>
    <row r="21" spans="1:30" ht="13.95" customHeight="1" x14ac:dyDescent="0.15">
      <c r="A21" s="159"/>
      <c r="B21" s="444" t="s">
        <v>373</v>
      </c>
      <c r="C21" s="445"/>
      <c r="D21" s="445"/>
      <c r="E21" s="445"/>
      <c r="F21" s="445"/>
      <c r="G21" s="445"/>
      <c r="H21" s="148"/>
      <c r="I21" s="452"/>
      <c r="J21" s="452"/>
      <c r="K21" s="452"/>
      <c r="L21" s="452"/>
      <c r="M21" s="452"/>
      <c r="N21" s="148"/>
      <c r="O21" s="137"/>
      <c r="P21" s="431"/>
      <c r="Q21" s="431"/>
      <c r="R21" s="431"/>
      <c r="S21" s="431"/>
      <c r="T21" s="431"/>
      <c r="U21" s="419"/>
      <c r="V21" s="432"/>
      <c r="W21" s="433"/>
      <c r="X21" s="434"/>
      <c r="Y21" s="136"/>
      <c r="Z21" s="4"/>
      <c r="AA21" s="4"/>
      <c r="AB21" s="4"/>
      <c r="AC21" s="4"/>
      <c r="AD21" s="4"/>
    </row>
    <row r="22" spans="1:30" ht="13.95" customHeight="1" x14ac:dyDescent="0.15">
      <c r="A22" s="159"/>
      <c r="B22" s="444"/>
      <c r="C22" s="445"/>
      <c r="D22" s="445"/>
      <c r="E22" s="445"/>
      <c r="F22" s="445"/>
      <c r="G22" s="445"/>
      <c r="H22" s="148"/>
      <c r="I22" s="452"/>
      <c r="J22" s="452"/>
      <c r="K22" s="452"/>
      <c r="L22" s="452"/>
      <c r="M22" s="452"/>
      <c r="N22" s="148"/>
      <c r="O22" s="136"/>
      <c r="P22" s="421" t="s">
        <v>709</v>
      </c>
      <c r="Q22" s="421"/>
      <c r="R22" s="421"/>
      <c r="S22" s="422" t="s">
        <v>710</v>
      </c>
      <c r="T22" s="422"/>
      <c r="U22" s="422"/>
      <c r="V22" s="423" t="s">
        <v>711</v>
      </c>
      <c r="W22" s="423"/>
      <c r="X22" s="423"/>
      <c r="Y22" s="137"/>
      <c r="Z22" s="4"/>
      <c r="AA22" s="4"/>
      <c r="AB22" s="4"/>
      <c r="AC22" s="4"/>
      <c r="AD22" s="4"/>
    </row>
    <row r="23" spans="1:30" ht="13.95" customHeight="1" x14ac:dyDescent="0.15">
      <c r="A23" s="159"/>
      <c r="B23" s="19" t="s">
        <v>101</v>
      </c>
      <c r="C23" s="446">
        <f>キャラシート!H25</f>
        <v>12</v>
      </c>
      <c r="D23" s="446"/>
      <c r="E23" s="168" t="s">
        <v>103</v>
      </c>
      <c r="F23" s="447">
        <f>キャラシート!H27</f>
        <v>3</v>
      </c>
      <c r="G23" s="447"/>
      <c r="H23" s="148"/>
      <c r="I23" s="452"/>
      <c r="J23" s="452"/>
      <c r="K23" s="452"/>
      <c r="L23" s="452"/>
      <c r="M23" s="452"/>
      <c r="N23" s="148"/>
      <c r="O23" s="137"/>
      <c r="P23" s="425" t="s">
        <v>985</v>
      </c>
      <c r="Q23" s="426" t="s">
        <v>985</v>
      </c>
      <c r="R23" s="426" t="s">
        <v>985</v>
      </c>
      <c r="S23" s="143" t="s">
        <v>985</v>
      </c>
      <c r="T23" s="143" t="s">
        <v>985</v>
      </c>
      <c r="U23" s="143" t="s">
        <v>985</v>
      </c>
      <c r="V23" s="143" t="s">
        <v>985</v>
      </c>
      <c r="W23" s="143" t="s">
        <v>985</v>
      </c>
      <c r="X23" s="144" t="s">
        <v>985</v>
      </c>
      <c r="Y23" s="136"/>
      <c r="Z23" s="4"/>
      <c r="AA23" s="4"/>
      <c r="AB23" s="4"/>
      <c r="AC23" s="4"/>
      <c r="AD23" s="4"/>
    </row>
    <row r="24" spans="1:30" ht="13.95" customHeight="1" x14ac:dyDescent="0.15">
      <c r="A24" s="159"/>
      <c r="B24" s="448" t="s">
        <v>385</v>
      </c>
      <c r="C24" s="448"/>
      <c r="D24" s="448"/>
      <c r="E24" s="448"/>
      <c r="F24" s="448"/>
      <c r="G24" s="448"/>
      <c r="H24" s="148"/>
      <c r="I24" s="452"/>
      <c r="J24" s="452"/>
      <c r="K24" s="452"/>
      <c r="L24" s="452"/>
      <c r="M24" s="452"/>
      <c r="N24" s="148"/>
      <c r="O24" s="136"/>
      <c r="P24" s="425"/>
      <c r="Q24" s="426"/>
      <c r="R24" s="426"/>
      <c r="S24" s="143" t="s">
        <v>985</v>
      </c>
      <c r="T24" s="143" t="s">
        <v>985</v>
      </c>
      <c r="U24" s="143" t="s">
        <v>985</v>
      </c>
      <c r="V24" s="143" t="s">
        <v>985</v>
      </c>
      <c r="W24" s="143" t="s">
        <v>985</v>
      </c>
      <c r="X24" s="144" t="s">
        <v>985</v>
      </c>
      <c r="Y24" s="137"/>
      <c r="Z24" s="4"/>
      <c r="AA24" s="4"/>
      <c r="AB24" s="4"/>
      <c r="AC24" s="4"/>
      <c r="AD24" s="4"/>
    </row>
    <row r="25" spans="1:30" ht="13.95" customHeight="1" x14ac:dyDescent="0.15">
      <c r="A25" s="159"/>
      <c r="B25" s="442"/>
      <c r="C25" s="442"/>
      <c r="D25" s="442"/>
      <c r="E25" s="442"/>
      <c r="F25" s="442"/>
      <c r="G25" s="442"/>
      <c r="H25" s="148"/>
      <c r="I25" s="452"/>
      <c r="J25" s="452"/>
      <c r="K25" s="452"/>
      <c r="L25" s="452"/>
      <c r="M25" s="452"/>
      <c r="N25" s="148"/>
      <c r="O25" s="137"/>
      <c r="P25" s="427" t="s">
        <v>181</v>
      </c>
      <c r="Q25" s="427"/>
      <c r="R25" s="427"/>
      <c r="S25" s="427"/>
      <c r="T25" s="427"/>
      <c r="U25" s="427"/>
      <c r="V25" s="427"/>
      <c r="W25" s="427"/>
      <c r="X25" s="427"/>
      <c r="Y25" s="136"/>
      <c r="Z25" s="4"/>
      <c r="AA25" s="4"/>
      <c r="AB25" s="4"/>
      <c r="AC25" s="4"/>
      <c r="AD25" s="4"/>
    </row>
    <row r="26" spans="1:30" ht="13.95" customHeight="1" x14ac:dyDescent="0.15">
      <c r="A26" s="159"/>
      <c r="B26" s="442"/>
      <c r="C26" s="442"/>
      <c r="D26" s="442"/>
      <c r="E26" s="442"/>
      <c r="F26" s="442"/>
      <c r="G26" s="442"/>
      <c r="H26" s="148"/>
      <c r="I26" s="452"/>
      <c r="J26" s="452"/>
      <c r="K26" s="452"/>
      <c r="L26" s="452"/>
      <c r="M26" s="452"/>
      <c r="N26" s="148"/>
      <c r="O26" s="136"/>
      <c r="P26" s="428"/>
      <c r="Q26" s="428"/>
      <c r="R26" s="428"/>
      <c r="S26" s="428"/>
      <c r="T26" s="428"/>
      <c r="U26" s="428"/>
      <c r="V26" s="428"/>
      <c r="W26" s="428"/>
      <c r="X26" s="428"/>
      <c r="Y26" s="137"/>
      <c r="Z26" s="4"/>
      <c r="AA26" s="4"/>
      <c r="AB26" s="4"/>
      <c r="AC26" s="4"/>
      <c r="AD26" s="4"/>
    </row>
    <row r="27" spans="1:30" ht="13.95" customHeight="1" x14ac:dyDescent="0.15">
      <c r="A27" s="159"/>
      <c r="B27" s="442"/>
      <c r="C27" s="442"/>
      <c r="D27" s="442"/>
      <c r="E27" s="442"/>
      <c r="F27" s="442"/>
      <c r="G27" s="442"/>
      <c r="H27" s="148"/>
      <c r="I27" s="452"/>
      <c r="J27" s="452"/>
      <c r="K27" s="452"/>
      <c r="L27" s="452"/>
      <c r="M27" s="452"/>
      <c r="N27" s="148"/>
      <c r="O27" s="137"/>
      <c r="P27" s="428"/>
      <c r="Q27" s="428"/>
      <c r="R27" s="428"/>
      <c r="S27" s="428"/>
      <c r="T27" s="428"/>
      <c r="U27" s="428"/>
      <c r="V27" s="428"/>
      <c r="W27" s="428"/>
      <c r="X27" s="428"/>
      <c r="Y27" s="136"/>
      <c r="Z27" s="4"/>
      <c r="AA27" s="4"/>
      <c r="AB27" s="4"/>
      <c r="AC27" s="4"/>
      <c r="AD27" s="4"/>
    </row>
    <row r="28" spans="1:30" ht="13.95" customHeight="1" x14ac:dyDescent="0.15">
      <c r="A28" s="159"/>
      <c r="B28" s="442"/>
      <c r="C28" s="442"/>
      <c r="D28" s="442"/>
      <c r="E28" s="442"/>
      <c r="F28" s="442"/>
      <c r="G28" s="442"/>
      <c r="H28" s="148"/>
      <c r="I28" s="452"/>
      <c r="J28" s="452"/>
      <c r="K28" s="452"/>
      <c r="L28" s="452"/>
      <c r="M28" s="452"/>
      <c r="N28" s="148"/>
      <c r="O28" s="136"/>
      <c r="P28" s="424" t="s">
        <v>182</v>
      </c>
      <c r="Q28" s="424"/>
      <c r="R28" s="424"/>
      <c r="S28" s="424"/>
      <c r="T28" s="424"/>
      <c r="U28" s="424"/>
      <c r="V28" s="424"/>
      <c r="W28" s="424"/>
      <c r="X28" s="424"/>
      <c r="Y28" s="137"/>
      <c r="Z28" s="4"/>
      <c r="AA28" s="4"/>
      <c r="AB28" s="4"/>
      <c r="AC28" s="4"/>
      <c r="AD28" s="4"/>
    </row>
    <row r="29" spans="1:30" ht="13.95" customHeight="1" x14ac:dyDescent="0.15">
      <c r="A29" s="159"/>
      <c r="B29" s="442"/>
      <c r="C29" s="442"/>
      <c r="D29" s="442"/>
      <c r="E29" s="442"/>
      <c r="F29" s="442"/>
      <c r="G29" s="442"/>
      <c r="H29" s="148"/>
      <c r="I29" s="452"/>
      <c r="J29" s="452"/>
      <c r="K29" s="452"/>
      <c r="L29" s="452"/>
      <c r="M29" s="452"/>
      <c r="N29" s="148"/>
      <c r="O29" s="137"/>
      <c r="P29" s="137"/>
      <c r="Q29" s="137"/>
      <c r="R29" s="137"/>
      <c r="S29" s="137"/>
      <c r="T29" s="137"/>
      <c r="U29" s="137"/>
      <c r="V29" s="137"/>
      <c r="W29" s="137"/>
      <c r="X29" s="137"/>
      <c r="Y29" s="136"/>
      <c r="Z29" s="4"/>
      <c r="AA29" s="4"/>
      <c r="AB29" s="4"/>
      <c r="AC29" s="4"/>
      <c r="AD29" s="4"/>
    </row>
    <row r="30" spans="1:30" ht="13.95" customHeight="1" x14ac:dyDescent="0.15">
      <c r="A30" s="159"/>
      <c r="B30" s="159"/>
      <c r="C30" s="159"/>
      <c r="D30" s="159"/>
      <c r="E30" s="159"/>
      <c r="F30" s="159"/>
      <c r="G30" s="159"/>
      <c r="H30" s="159"/>
      <c r="I30" s="159"/>
      <c r="J30" s="147"/>
      <c r="K30" s="159"/>
      <c r="L30" s="159"/>
      <c r="M30" s="147"/>
      <c r="N30" s="159"/>
      <c r="O30" s="136"/>
      <c r="P30" s="429" t="s">
        <v>176</v>
      </c>
      <c r="Q30" s="429"/>
      <c r="R30" s="429"/>
      <c r="S30" s="429"/>
      <c r="T30" s="429"/>
      <c r="U30" s="138" t="s">
        <v>177</v>
      </c>
      <c r="V30" s="139" t="s">
        <v>448</v>
      </c>
      <c r="W30" s="139" t="s">
        <v>178</v>
      </c>
      <c r="X30" s="140" t="s">
        <v>179</v>
      </c>
      <c r="Y30" s="137"/>
      <c r="Z30" s="4"/>
      <c r="AA30" s="4"/>
      <c r="AB30" s="4"/>
      <c r="AC30" s="4"/>
      <c r="AD30" s="4"/>
    </row>
    <row r="31" spans="1:30" ht="13.95" customHeight="1" x14ac:dyDescent="0.15">
      <c r="A31" s="159"/>
      <c r="B31" s="443" t="s">
        <v>67</v>
      </c>
      <c r="C31" s="443"/>
      <c r="D31" s="443"/>
      <c r="E31" s="443"/>
      <c r="F31" s="443"/>
      <c r="G31" s="443"/>
      <c r="H31" s="443"/>
      <c r="I31" s="443"/>
      <c r="J31" s="443"/>
      <c r="K31" s="443"/>
      <c r="L31" s="443"/>
      <c r="M31" s="443"/>
      <c r="N31" s="148"/>
      <c r="O31" s="137"/>
      <c r="P31" s="431"/>
      <c r="Q31" s="431"/>
      <c r="R31" s="431"/>
      <c r="S31" s="431"/>
      <c r="T31" s="431"/>
      <c r="U31" s="419" t="s">
        <v>985</v>
      </c>
      <c r="V31" s="432" t="s">
        <v>985</v>
      </c>
      <c r="W31" s="433"/>
      <c r="X31" s="434"/>
      <c r="Y31" s="136"/>
      <c r="Z31" s="4"/>
      <c r="AA31" s="4"/>
      <c r="AB31" s="4"/>
      <c r="AC31" s="4"/>
      <c r="AD31" s="4"/>
    </row>
    <row r="32" spans="1:30" ht="13.95" customHeight="1" x14ac:dyDescent="0.15">
      <c r="A32" s="159"/>
      <c r="B32" s="442"/>
      <c r="C32" s="442"/>
      <c r="D32" s="442"/>
      <c r="E32" s="442"/>
      <c r="F32" s="442"/>
      <c r="G32" s="442"/>
      <c r="H32" s="442"/>
      <c r="I32" s="442"/>
      <c r="J32" s="442"/>
      <c r="K32" s="442"/>
      <c r="L32" s="442"/>
      <c r="M32" s="442"/>
      <c r="N32" s="148"/>
      <c r="O32" s="136"/>
      <c r="P32" s="431"/>
      <c r="Q32" s="431"/>
      <c r="R32" s="431"/>
      <c r="S32" s="431"/>
      <c r="T32" s="431"/>
      <c r="U32" s="419"/>
      <c r="V32" s="432"/>
      <c r="W32" s="433"/>
      <c r="X32" s="434"/>
      <c r="Y32" s="137"/>
      <c r="Z32" s="4"/>
      <c r="AA32" s="4"/>
      <c r="AB32" s="4"/>
      <c r="AC32" s="4"/>
      <c r="AD32" s="4"/>
    </row>
    <row r="33" spans="1:30" ht="13.95" customHeight="1" x14ac:dyDescent="0.15">
      <c r="A33" s="159"/>
      <c r="B33" s="442"/>
      <c r="C33" s="442"/>
      <c r="D33" s="442"/>
      <c r="E33" s="442"/>
      <c r="F33" s="442"/>
      <c r="G33" s="442"/>
      <c r="H33" s="442"/>
      <c r="I33" s="442"/>
      <c r="J33" s="442"/>
      <c r="K33" s="442"/>
      <c r="L33" s="442"/>
      <c r="M33" s="442"/>
      <c r="N33" s="148"/>
      <c r="O33" s="137"/>
      <c r="P33" s="421" t="s">
        <v>709</v>
      </c>
      <c r="Q33" s="421"/>
      <c r="R33" s="421"/>
      <c r="S33" s="422" t="s">
        <v>710</v>
      </c>
      <c r="T33" s="422"/>
      <c r="U33" s="422"/>
      <c r="V33" s="423" t="s">
        <v>711</v>
      </c>
      <c r="W33" s="423"/>
      <c r="X33" s="423"/>
      <c r="Y33" s="136"/>
      <c r="Z33" s="4"/>
      <c r="AA33" s="4"/>
      <c r="AB33" s="4"/>
      <c r="AC33" s="4"/>
      <c r="AD33" s="4"/>
    </row>
    <row r="34" spans="1:30" ht="13.95" customHeight="1" x14ac:dyDescent="0.15">
      <c r="A34" s="159"/>
      <c r="B34" s="442"/>
      <c r="C34" s="442"/>
      <c r="D34" s="442"/>
      <c r="E34" s="442"/>
      <c r="F34" s="442"/>
      <c r="G34" s="442"/>
      <c r="H34" s="442"/>
      <c r="I34" s="442"/>
      <c r="J34" s="442"/>
      <c r="K34" s="442"/>
      <c r="L34" s="442"/>
      <c r="M34" s="442"/>
      <c r="N34" s="148"/>
      <c r="O34" s="136"/>
      <c r="P34" s="425" t="s">
        <v>985</v>
      </c>
      <c r="Q34" s="426" t="s">
        <v>985</v>
      </c>
      <c r="R34" s="426" t="s">
        <v>985</v>
      </c>
      <c r="S34" s="143" t="s">
        <v>985</v>
      </c>
      <c r="T34" s="143" t="s">
        <v>985</v>
      </c>
      <c r="U34" s="143" t="s">
        <v>985</v>
      </c>
      <c r="V34" s="143" t="s">
        <v>985</v>
      </c>
      <c r="W34" s="143" t="s">
        <v>985</v>
      </c>
      <c r="X34" s="144" t="s">
        <v>985</v>
      </c>
      <c r="Y34" s="137"/>
      <c r="Z34" s="4"/>
      <c r="AA34" s="4"/>
      <c r="AB34" s="4"/>
      <c r="AC34" s="4"/>
      <c r="AD34" s="4"/>
    </row>
    <row r="35" spans="1:30" ht="13.95" customHeight="1" x14ac:dyDescent="0.15">
      <c r="A35" s="159"/>
      <c r="B35" s="442"/>
      <c r="C35" s="442"/>
      <c r="D35" s="442"/>
      <c r="E35" s="442"/>
      <c r="F35" s="442"/>
      <c r="G35" s="442"/>
      <c r="H35" s="442"/>
      <c r="I35" s="442"/>
      <c r="J35" s="442"/>
      <c r="K35" s="442"/>
      <c r="L35" s="442"/>
      <c r="M35" s="442"/>
      <c r="N35" s="159"/>
      <c r="O35" s="137"/>
      <c r="P35" s="425"/>
      <c r="Q35" s="426"/>
      <c r="R35" s="426"/>
      <c r="S35" s="143" t="s">
        <v>985</v>
      </c>
      <c r="T35" s="143" t="s">
        <v>985</v>
      </c>
      <c r="U35" s="143" t="s">
        <v>985</v>
      </c>
      <c r="V35" s="143" t="s">
        <v>985</v>
      </c>
      <c r="W35" s="143" t="s">
        <v>985</v>
      </c>
      <c r="X35" s="144" t="s">
        <v>985</v>
      </c>
      <c r="Y35" s="136"/>
      <c r="Z35" s="169"/>
      <c r="AA35" s="169"/>
      <c r="AB35" s="169"/>
      <c r="AC35" s="169"/>
      <c r="AD35" s="169"/>
    </row>
    <row r="36" spans="1:30" ht="13.95" customHeight="1" x14ac:dyDescent="0.15">
      <c r="A36" s="159"/>
      <c r="B36" s="159"/>
      <c r="C36" s="159"/>
      <c r="D36" s="159"/>
      <c r="E36" s="159"/>
      <c r="F36" s="159"/>
      <c r="G36" s="159"/>
      <c r="H36" s="159"/>
      <c r="I36" s="159"/>
      <c r="J36" s="147"/>
      <c r="K36" s="159"/>
      <c r="L36" s="159"/>
      <c r="M36" s="147"/>
      <c r="N36" s="159"/>
      <c r="O36" s="136"/>
      <c r="P36" s="427" t="s">
        <v>181</v>
      </c>
      <c r="Q36" s="427"/>
      <c r="R36" s="427"/>
      <c r="S36" s="427"/>
      <c r="T36" s="427"/>
      <c r="U36" s="427"/>
      <c r="V36" s="427"/>
      <c r="W36" s="427"/>
      <c r="X36" s="427"/>
      <c r="Y36" s="137"/>
      <c r="Z36" s="169"/>
      <c r="AA36" s="169"/>
      <c r="AB36" s="169"/>
      <c r="AC36" s="169"/>
      <c r="AD36" s="169"/>
    </row>
    <row r="37" spans="1:30" ht="13.95" customHeight="1" x14ac:dyDescent="0.15">
      <c r="A37" s="4"/>
      <c r="B37" s="4"/>
      <c r="C37" s="4"/>
      <c r="D37" s="4"/>
      <c r="E37" s="4"/>
      <c r="F37" s="4"/>
      <c r="G37" s="4"/>
      <c r="H37" s="4"/>
      <c r="I37" s="4"/>
      <c r="J37" s="4"/>
      <c r="K37" s="4"/>
      <c r="L37" s="4"/>
      <c r="M37" s="4"/>
      <c r="N37" s="4"/>
      <c r="O37" s="137"/>
      <c r="P37" s="428"/>
      <c r="Q37" s="428"/>
      <c r="R37" s="428"/>
      <c r="S37" s="428"/>
      <c r="T37" s="428"/>
      <c r="U37" s="428"/>
      <c r="V37" s="428"/>
      <c r="W37" s="428"/>
      <c r="X37" s="428"/>
      <c r="Y37" s="136"/>
      <c r="Z37" s="169"/>
      <c r="AA37" s="169"/>
      <c r="AB37" s="169"/>
      <c r="AC37" s="169"/>
      <c r="AD37" s="169"/>
    </row>
    <row r="38" spans="1:30" ht="13.95" customHeight="1" x14ac:dyDescent="0.15">
      <c r="A38" s="4"/>
      <c r="B38" s="4"/>
      <c r="C38" s="4"/>
      <c r="D38" s="4"/>
      <c r="E38" s="4"/>
      <c r="F38" s="4"/>
      <c r="G38" s="4"/>
      <c r="H38" s="4"/>
      <c r="I38" s="4"/>
      <c r="J38" s="4"/>
      <c r="K38" s="4"/>
      <c r="L38" s="4"/>
      <c r="M38" s="4"/>
      <c r="N38" s="4"/>
      <c r="O38" s="136"/>
      <c r="P38" s="428"/>
      <c r="Q38" s="428"/>
      <c r="R38" s="428"/>
      <c r="S38" s="428"/>
      <c r="T38" s="428"/>
      <c r="U38" s="428"/>
      <c r="V38" s="428"/>
      <c r="W38" s="428"/>
      <c r="X38" s="428"/>
      <c r="Y38" s="137"/>
      <c r="Z38" s="169"/>
      <c r="AA38" s="169"/>
      <c r="AB38" s="169"/>
      <c r="AC38" s="169"/>
      <c r="AD38" s="169"/>
    </row>
    <row r="39" spans="1:30" ht="13.95" customHeight="1" x14ac:dyDescent="0.15">
      <c r="A39" s="4"/>
      <c r="B39" s="4"/>
      <c r="C39" s="4"/>
      <c r="D39" s="4"/>
      <c r="E39" s="4"/>
      <c r="F39" s="4"/>
      <c r="G39" s="4"/>
      <c r="H39" s="4"/>
      <c r="I39" s="4"/>
      <c r="J39" s="4"/>
      <c r="K39" s="4"/>
      <c r="L39" s="4"/>
      <c r="M39" s="4"/>
      <c r="N39" s="4"/>
      <c r="O39" s="137"/>
      <c r="P39" s="424" t="s">
        <v>182</v>
      </c>
      <c r="Q39" s="424"/>
      <c r="R39" s="424"/>
      <c r="S39" s="424"/>
      <c r="T39" s="424"/>
      <c r="U39" s="424"/>
      <c r="V39" s="424"/>
      <c r="W39" s="424"/>
      <c r="X39" s="424"/>
      <c r="Y39" s="136"/>
      <c r="Z39" s="169"/>
      <c r="AA39" s="169"/>
      <c r="AB39" s="169"/>
      <c r="AC39" s="169"/>
      <c r="AD39" s="169"/>
    </row>
    <row r="40" spans="1:30" ht="13.95" customHeight="1" x14ac:dyDescent="0.15">
      <c r="A40" s="4"/>
      <c r="B40" s="4"/>
      <c r="C40" s="4"/>
      <c r="D40" s="4"/>
      <c r="E40" s="4"/>
      <c r="F40" s="4"/>
      <c r="G40" s="4"/>
      <c r="H40" s="4"/>
      <c r="I40" s="4"/>
      <c r="J40" s="4"/>
      <c r="K40" s="4"/>
      <c r="L40" s="4"/>
      <c r="M40" s="4"/>
      <c r="N40" s="4"/>
      <c r="O40" s="136"/>
      <c r="P40" s="136"/>
      <c r="Q40" s="136"/>
      <c r="R40" s="136"/>
      <c r="S40" s="136"/>
      <c r="T40" s="136"/>
      <c r="U40" s="136"/>
      <c r="V40" s="136"/>
      <c r="W40" s="136"/>
      <c r="X40" s="136"/>
      <c r="Y40" s="137"/>
      <c r="Z40" s="169"/>
      <c r="AA40" s="169"/>
      <c r="AB40" s="169"/>
      <c r="AC40" s="169"/>
      <c r="AD40" s="169"/>
    </row>
    <row r="41" spans="1:30" ht="13.95" customHeight="1" x14ac:dyDescent="0.15">
      <c r="A41" s="4"/>
      <c r="B41" s="4"/>
      <c r="C41" s="4"/>
      <c r="D41" s="4"/>
      <c r="E41" s="4"/>
      <c r="F41" s="4"/>
      <c r="G41" s="4"/>
      <c r="H41" s="4"/>
      <c r="I41" s="4"/>
      <c r="J41" s="4"/>
      <c r="K41" s="4"/>
      <c r="L41" s="4"/>
      <c r="M41" s="4"/>
      <c r="N41" s="4"/>
      <c r="O41" s="137"/>
      <c r="P41" s="429" t="s">
        <v>176</v>
      </c>
      <c r="Q41" s="429"/>
      <c r="R41" s="429"/>
      <c r="S41" s="429"/>
      <c r="T41" s="429"/>
      <c r="U41" s="138" t="s">
        <v>177</v>
      </c>
      <c r="V41" s="139" t="s">
        <v>448</v>
      </c>
      <c r="W41" s="139" t="s">
        <v>178</v>
      </c>
      <c r="X41" s="140" t="s">
        <v>179</v>
      </c>
      <c r="Y41" s="136"/>
      <c r="Z41" s="169"/>
      <c r="AA41" s="169"/>
      <c r="AB41" s="169"/>
      <c r="AC41" s="169"/>
      <c r="AD41" s="169"/>
    </row>
    <row r="42" spans="1:30" ht="13.95" customHeight="1" x14ac:dyDescent="0.15">
      <c r="A42" s="4"/>
      <c r="B42" s="4"/>
      <c r="C42" s="4"/>
      <c r="D42" s="4"/>
      <c r="E42" s="4"/>
      <c r="F42" s="4"/>
      <c r="G42" s="4"/>
      <c r="H42" s="4"/>
      <c r="I42" s="4"/>
      <c r="J42" s="4"/>
      <c r="K42" s="4"/>
      <c r="L42" s="4"/>
      <c r="M42" s="4"/>
      <c r="N42" s="4"/>
      <c r="O42" s="136"/>
      <c r="P42" s="431"/>
      <c r="Q42" s="431"/>
      <c r="R42" s="431"/>
      <c r="S42" s="431"/>
      <c r="T42" s="431"/>
      <c r="U42" s="419" t="s">
        <v>985</v>
      </c>
      <c r="V42" s="432" t="s">
        <v>985</v>
      </c>
      <c r="W42" s="433"/>
      <c r="X42" s="434"/>
      <c r="Y42" s="137"/>
      <c r="Z42" s="169"/>
      <c r="AA42" s="169"/>
      <c r="AB42" s="169"/>
      <c r="AC42" s="169"/>
      <c r="AD42" s="169"/>
    </row>
    <row r="43" spans="1:30" ht="13.95" customHeight="1" x14ac:dyDescent="0.15">
      <c r="A43" s="4"/>
      <c r="B43" s="4"/>
      <c r="C43" s="4"/>
      <c r="D43" s="4"/>
      <c r="E43" s="4"/>
      <c r="F43" s="4"/>
      <c r="G43" s="4"/>
      <c r="H43" s="4"/>
      <c r="I43" s="4"/>
      <c r="J43" s="4"/>
      <c r="K43" s="4"/>
      <c r="L43" s="4"/>
      <c r="M43" s="4"/>
      <c r="N43" s="4"/>
      <c r="O43" s="137"/>
      <c r="P43" s="431"/>
      <c r="Q43" s="431"/>
      <c r="R43" s="431"/>
      <c r="S43" s="431"/>
      <c r="T43" s="431"/>
      <c r="U43" s="419"/>
      <c r="V43" s="432"/>
      <c r="W43" s="433"/>
      <c r="X43" s="434"/>
      <c r="Y43" s="136"/>
      <c r="Z43" s="169"/>
      <c r="AA43" s="169"/>
      <c r="AB43" s="169"/>
      <c r="AC43" s="169"/>
      <c r="AD43" s="169"/>
    </row>
    <row r="44" spans="1:30" ht="13.95" customHeight="1" x14ac:dyDescent="0.15">
      <c r="A44" s="4"/>
      <c r="B44" s="4"/>
      <c r="C44" s="4"/>
      <c r="D44" s="4"/>
      <c r="E44" s="4"/>
      <c r="F44" s="4"/>
      <c r="G44" s="4"/>
      <c r="H44" s="4"/>
      <c r="I44" s="4"/>
      <c r="J44" s="4"/>
      <c r="K44" s="4"/>
      <c r="L44" s="4"/>
      <c r="M44" s="4"/>
      <c r="N44" s="4"/>
      <c r="O44" s="136"/>
      <c r="P44" s="421" t="s">
        <v>709</v>
      </c>
      <c r="Q44" s="421"/>
      <c r="R44" s="421"/>
      <c r="S44" s="422" t="s">
        <v>710</v>
      </c>
      <c r="T44" s="422"/>
      <c r="U44" s="422"/>
      <c r="V44" s="423" t="s">
        <v>711</v>
      </c>
      <c r="W44" s="423"/>
      <c r="X44" s="423"/>
      <c r="Y44" s="137"/>
      <c r="Z44" s="169"/>
      <c r="AA44" s="169"/>
      <c r="AB44" s="169"/>
      <c r="AC44" s="169"/>
      <c r="AD44" s="169"/>
    </row>
    <row r="45" spans="1:30" ht="13.95" customHeight="1" x14ac:dyDescent="0.15">
      <c r="A45" s="4"/>
      <c r="B45" s="4"/>
      <c r="C45" s="4"/>
      <c r="D45" s="4"/>
      <c r="E45" s="4"/>
      <c r="F45" s="4"/>
      <c r="G45" s="4"/>
      <c r="H45" s="4"/>
      <c r="I45" s="4"/>
      <c r="J45" s="4"/>
      <c r="K45" s="4"/>
      <c r="L45" s="4"/>
      <c r="M45" s="4"/>
      <c r="N45" s="4"/>
      <c r="O45" s="137"/>
      <c r="P45" s="425" t="s">
        <v>985</v>
      </c>
      <c r="Q45" s="426" t="s">
        <v>985</v>
      </c>
      <c r="R45" s="426" t="s">
        <v>985</v>
      </c>
      <c r="S45" s="143" t="s">
        <v>985</v>
      </c>
      <c r="T45" s="143" t="s">
        <v>985</v>
      </c>
      <c r="U45" s="143" t="s">
        <v>985</v>
      </c>
      <c r="V45" s="143" t="s">
        <v>985</v>
      </c>
      <c r="W45" s="143" t="s">
        <v>985</v>
      </c>
      <c r="X45" s="144" t="s">
        <v>985</v>
      </c>
      <c r="Y45" s="136"/>
      <c r="Z45" s="169"/>
      <c r="AA45" s="169"/>
      <c r="AB45" s="169"/>
      <c r="AC45" s="169"/>
      <c r="AD45" s="169"/>
    </row>
    <row r="46" spans="1:30" ht="13.95" customHeight="1" x14ac:dyDescent="0.15">
      <c r="A46" s="4"/>
      <c r="B46" s="4"/>
      <c r="C46" s="4"/>
      <c r="D46" s="4"/>
      <c r="E46" s="4"/>
      <c r="F46" s="4"/>
      <c r="G46" s="4"/>
      <c r="H46" s="4"/>
      <c r="I46" s="4"/>
      <c r="J46" s="4"/>
      <c r="K46" s="4"/>
      <c r="L46" s="4"/>
      <c r="M46" s="4"/>
      <c r="N46" s="4"/>
      <c r="O46" s="136"/>
      <c r="P46" s="425"/>
      <c r="Q46" s="426"/>
      <c r="R46" s="426"/>
      <c r="S46" s="143" t="s">
        <v>985</v>
      </c>
      <c r="T46" s="143" t="s">
        <v>985</v>
      </c>
      <c r="U46" s="143" t="s">
        <v>985</v>
      </c>
      <c r="V46" s="143" t="s">
        <v>985</v>
      </c>
      <c r="W46" s="143" t="s">
        <v>985</v>
      </c>
      <c r="X46" s="144" t="s">
        <v>985</v>
      </c>
      <c r="Y46" s="137"/>
      <c r="Z46" s="169"/>
      <c r="AA46" s="169"/>
      <c r="AB46" s="169"/>
      <c r="AC46" s="169"/>
      <c r="AD46" s="169"/>
    </row>
    <row r="47" spans="1:30" ht="13.95" customHeight="1" x14ac:dyDescent="0.15">
      <c r="A47" s="4"/>
      <c r="B47" s="4"/>
      <c r="C47" s="4"/>
      <c r="D47" s="4"/>
      <c r="E47" s="4"/>
      <c r="F47" s="4"/>
      <c r="G47" s="4"/>
      <c r="H47" s="4"/>
      <c r="I47" s="4"/>
      <c r="J47" s="4"/>
      <c r="K47" s="4"/>
      <c r="L47" s="4"/>
      <c r="M47" s="4"/>
      <c r="N47" s="4"/>
      <c r="O47" s="137"/>
      <c r="P47" s="427" t="s">
        <v>181</v>
      </c>
      <c r="Q47" s="427"/>
      <c r="R47" s="427"/>
      <c r="S47" s="427"/>
      <c r="T47" s="427"/>
      <c r="U47" s="427"/>
      <c r="V47" s="427"/>
      <c r="W47" s="427"/>
      <c r="X47" s="427"/>
      <c r="Y47" s="136"/>
      <c r="Z47" s="169"/>
      <c r="AA47" s="169"/>
      <c r="AB47" s="169"/>
      <c r="AC47" s="169"/>
      <c r="AD47" s="169"/>
    </row>
    <row r="48" spans="1:30" ht="13.95" customHeight="1" x14ac:dyDescent="0.15">
      <c r="A48" s="4"/>
      <c r="B48" s="4"/>
      <c r="C48" s="4"/>
      <c r="D48" s="4"/>
      <c r="E48" s="4"/>
      <c r="F48" s="4"/>
      <c r="G48" s="4"/>
      <c r="H48" s="4"/>
      <c r="I48" s="4"/>
      <c r="J48" s="4"/>
      <c r="K48" s="4"/>
      <c r="L48" s="4"/>
      <c r="M48" s="4"/>
      <c r="N48" s="4"/>
      <c r="O48" s="136"/>
      <c r="P48" s="428"/>
      <c r="Q48" s="428"/>
      <c r="R48" s="428"/>
      <c r="S48" s="428"/>
      <c r="T48" s="428"/>
      <c r="U48" s="428"/>
      <c r="V48" s="428"/>
      <c r="W48" s="428"/>
      <c r="X48" s="428"/>
      <c r="Y48" s="137"/>
      <c r="Z48" s="169"/>
      <c r="AA48" s="169"/>
      <c r="AB48" s="169"/>
      <c r="AC48" s="169"/>
      <c r="AD48" s="169"/>
    </row>
    <row r="49" spans="1:30" ht="13.95" customHeight="1" x14ac:dyDescent="0.15">
      <c r="A49" s="4"/>
      <c r="B49" s="4"/>
      <c r="C49" s="4"/>
      <c r="D49" s="4"/>
      <c r="E49" s="4"/>
      <c r="F49" s="4"/>
      <c r="G49" s="4"/>
      <c r="H49" s="4"/>
      <c r="I49" s="4"/>
      <c r="J49" s="4"/>
      <c r="K49" s="4"/>
      <c r="L49" s="4"/>
      <c r="M49" s="4"/>
      <c r="N49" s="4"/>
      <c r="O49" s="137"/>
      <c r="P49" s="428"/>
      <c r="Q49" s="428"/>
      <c r="R49" s="428"/>
      <c r="S49" s="428"/>
      <c r="T49" s="428"/>
      <c r="U49" s="428"/>
      <c r="V49" s="428"/>
      <c r="W49" s="428"/>
      <c r="X49" s="428"/>
      <c r="Y49" s="136"/>
      <c r="Z49" s="169"/>
      <c r="AA49" s="169"/>
      <c r="AB49" s="169"/>
      <c r="AC49" s="169"/>
      <c r="AD49" s="169"/>
    </row>
    <row r="50" spans="1:30" ht="13.95" customHeight="1" x14ac:dyDescent="0.15">
      <c r="A50" s="4"/>
      <c r="B50" s="4"/>
      <c r="C50" s="4"/>
      <c r="D50" s="4"/>
      <c r="E50" s="4"/>
      <c r="F50" s="4"/>
      <c r="G50" s="4"/>
      <c r="H50" s="4"/>
      <c r="I50" s="4"/>
      <c r="J50" s="4"/>
      <c r="K50" s="4"/>
      <c r="L50" s="4"/>
      <c r="M50" s="4"/>
      <c r="N50" s="4"/>
      <c r="O50" s="136"/>
      <c r="P50" s="424" t="s">
        <v>182</v>
      </c>
      <c r="Q50" s="424"/>
      <c r="R50" s="424"/>
      <c r="S50" s="424"/>
      <c r="T50" s="424"/>
      <c r="U50" s="424"/>
      <c r="V50" s="424"/>
      <c r="W50" s="424"/>
      <c r="X50" s="424"/>
      <c r="Y50" s="137"/>
      <c r="Z50" s="169"/>
      <c r="AA50" s="169"/>
      <c r="AB50" s="169"/>
      <c r="AC50" s="169"/>
      <c r="AD50" s="169"/>
    </row>
    <row r="51" spans="1:30" ht="13.95" customHeight="1" x14ac:dyDescent="0.15">
      <c r="A51" s="4"/>
      <c r="B51" s="4"/>
      <c r="C51" s="4"/>
      <c r="D51" s="4"/>
      <c r="E51" s="4"/>
      <c r="F51" s="4"/>
      <c r="G51" s="4"/>
      <c r="H51" s="4"/>
      <c r="I51" s="4"/>
      <c r="J51" s="4"/>
      <c r="K51" s="4"/>
      <c r="L51" s="4"/>
      <c r="M51" s="4"/>
      <c r="N51" s="4"/>
      <c r="O51" s="137"/>
      <c r="P51" s="137"/>
      <c r="Q51" s="137"/>
      <c r="R51" s="137"/>
      <c r="S51" s="137"/>
      <c r="T51" s="137"/>
      <c r="U51" s="137"/>
      <c r="V51" s="137"/>
      <c r="W51" s="137"/>
      <c r="X51" s="137"/>
      <c r="Y51" s="136"/>
      <c r="Z51" s="169"/>
      <c r="AA51" s="169"/>
      <c r="AB51" s="169"/>
      <c r="AC51" s="169"/>
      <c r="AD51" s="169"/>
    </row>
    <row r="52" spans="1:30" ht="13.95" customHeight="1" x14ac:dyDescent="0.15">
      <c r="A52" s="4"/>
      <c r="B52" s="4"/>
      <c r="C52" s="4"/>
      <c r="D52" s="4"/>
      <c r="E52" s="4"/>
      <c r="F52" s="4"/>
      <c r="G52" s="4"/>
      <c r="H52" s="4"/>
      <c r="I52" s="4"/>
      <c r="J52" s="4"/>
      <c r="K52" s="4"/>
      <c r="L52" s="4"/>
      <c r="M52" s="4"/>
      <c r="N52" s="4"/>
      <c r="O52" s="136"/>
      <c r="P52" s="429" t="s">
        <v>176</v>
      </c>
      <c r="Q52" s="429"/>
      <c r="R52" s="429"/>
      <c r="S52" s="429"/>
      <c r="T52" s="429"/>
      <c r="U52" s="138" t="s">
        <v>177</v>
      </c>
      <c r="V52" s="139" t="s">
        <v>448</v>
      </c>
      <c r="W52" s="139" t="s">
        <v>178</v>
      </c>
      <c r="X52" s="140" t="s">
        <v>179</v>
      </c>
      <c r="Y52" s="137"/>
      <c r="Z52" s="169"/>
      <c r="AA52" s="169"/>
    </row>
    <row r="53" spans="1:30" ht="13.95" customHeight="1" x14ac:dyDescent="0.15">
      <c r="A53" s="4"/>
      <c r="B53" s="4"/>
      <c r="C53" s="4"/>
      <c r="D53" s="4"/>
      <c r="E53" s="4"/>
      <c r="F53" s="4"/>
      <c r="G53" s="4"/>
      <c r="H53" s="4"/>
      <c r="I53" s="4"/>
      <c r="J53" s="4"/>
      <c r="K53" s="4"/>
      <c r="L53" s="4"/>
      <c r="M53" s="4"/>
      <c r="N53" s="4"/>
      <c r="O53" s="137"/>
      <c r="P53" s="431"/>
      <c r="Q53" s="431"/>
      <c r="R53" s="431"/>
      <c r="S53" s="431"/>
      <c r="T53" s="431"/>
      <c r="U53" s="419" t="s">
        <v>985</v>
      </c>
      <c r="V53" s="432" t="s">
        <v>985</v>
      </c>
      <c r="W53" s="433"/>
      <c r="X53" s="434"/>
      <c r="Y53" s="136"/>
      <c r="Z53" s="169"/>
      <c r="AA53" s="169"/>
    </row>
    <row r="54" spans="1:30" ht="13.95" customHeight="1" x14ac:dyDescent="0.15">
      <c r="A54" s="4"/>
      <c r="B54" s="4"/>
      <c r="C54" s="4"/>
      <c r="D54" s="4"/>
      <c r="E54" s="4"/>
      <c r="F54" s="4"/>
      <c r="G54" s="4"/>
      <c r="H54" s="4"/>
      <c r="I54" s="4"/>
      <c r="J54" s="4"/>
      <c r="K54" s="4"/>
      <c r="L54" s="4"/>
      <c r="M54" s="4"/>
      <c r="N54" s="4"/>
      <c r="O54" s="136"/>
      <c r="P54" s="431"/>
      <c r="Q54" s="431"/>
      <c r="R54" s="431"/>
      <c r="S54" s="431"/>
      <c r="T54" s="431"/>
      <c r="U54" s="419"/>
      <c r="V54" s="432"/>
      <c r="W54" s="433"/>
      <c r="X54" s="434"/>
      <c r="Y54" s="137"/>
      <c r="Z54" s="169"/>
      <c r="AA54" s="169"/>
    </row>
    <row r="55" spans="1:30" ht="13.95" customHeight="1" x14ac:dyDescent="0.15">
      <c r="A55" s="4"/>
      <c r="B55" s="4"/>
      <c r="C55" s="4"/>
      <c r="D55" s="4"/>
      <c r="E55" s="4"/>
      <c r="F55" s="4"/>
      <c r="G55" s="4"/>
      <c r="H55" s="4"/>
      <c r="I55" s="4"/>
      <c r="J55" s="4"/>
      <c r="K55" s="4"/>
      <c r="L55" s="4"/>
      <c r="M55" s="4"/>
      <c r="N55" s="4"/>
      <c r="O55" s="137"/>
      <c r="P55" s="421" t="s">
        <v>709</v>
      </c>
      <c r="Q55" s="421"/>
      <c r="R55" s="421"/>
      <c r="S55" s="422" t="s">
        <v>710</v>
      </c>
      <c r="T55" s="422"/>
      <c r="U55" s="422"/>
      <c r="V55" s="423" t="s">
        <v>711</v>
      </c>
      <c r="W55" s="423"/>
      <c r="X55" s="423"/>
      <c r="Y55" s="136"/>
      <c r="Z55" s="169"/>
      <c r="AA55" s="169"/>
    </row>
    <row r="56" spans="1:30" ht="13.95" customHeight="1" x14ac:dyDescent="0.15">
      <c r="A56" s="4"/>
      <c r="B56" s="4"/>
      <c r="C56" s="4"/>
      <c r="D56" s="4"/>
      <c r="E56" s="4"/>
      <c r="F56" s="4"/>
      <c r="G56" s="4"/>
      <c r="H56" s="4"/>
      <c r="I56" s="4"/>
      <c r="J56" s="4"/>
      <c r="K56" s="4"/>
      <c r="L56" s="4"/>
      <c r="M56" s="4"/>
      <c r="N56" s="4"/>
      <c r="O56" s="136"/>
      <c r="P56" s="425" t="s">
        <v>985</v>
      </c>
      <c r="Q56" s="426" t="s">
        <v>985</v>
      </c>
      <c r="R56" s="426" t="s">
        <v>985</v>
      </c>
      <c r="S56" s="143" t="s">
        <v>985</v>
      </c>
      <c r="T56" s="143" t="s">
        <v>985</v>
      </c>
      <c r="U56" s="143" t="s">
        <v>985</v>
      </c>
      <c r="V56" s="143" t="s">
        <v>985</v>
      </c>
      <c r="W56" s="143" t="s">
        <v>985</v>
      </c>
      <c r="X56" s="144" t="s">
        <v>985</v>
      </c>
      <c r="Y56" s="137"/>
      <c r="Z56" s="169"/>
      <c r="AA56" s="169"/>
    </row>
    <row r="57" spans="1:30" ht="13.95" customHeight="1" x14ac:dyDescent="0.15">
      <c r="A57" s="4"/>
      <c r="B57" s="4"/>
      <c r="C57" s="4"/>
      <c r="D57" s="4"/>
      <c r="E57" s="4"/>
      <c r="F57" s="4"/>
      <c r="G57" s="4"/>
      <c r="H57" s="4"/>
      <c r="I57" s="4"/>
      <c r="J57" s="4"/>
      <c r="K57" s="4"/>
      <c r="L57" s="4"/>
      <c r="M57" s="4"/>
      <c r="N57" s="4"/>
      <c r="O57" s="137"/>
      <c r="P57" s="425"/>
      <c r="Q57" s="426"/>
      <c r="R57" s="426"/>
      <c r="S57" s="143" t="s">
        <v>985</v>
      </c>
      <c r="T57" s="143" t="s">
        <v>985</v>
      </c>
      <c r="U57" s="143" t="s">
        <v>985</v>
      </c>
      <c r="V57" s="143" t="s">
        <v>985</v>
      </c>
      <c r="W57" s="143" t="s">
        <v>985</v>
      </c>
      <c r="X57" s="144" t="s">
        <v>985</v>
      </c>
      <c r="Y57" s="136"/>
      <c r="Z57" s="169"/>
      <c r="AA57" s="169"/>
    </row>
    <row r="58" spans="1:30" ht="13.95" customHeight="1" x14ac:dyDescent="0.15">
      <c r="A58" s="4"/>
      <c r="B58" s="4"/>
      <c r="C58" s="4"/>
      <c r="D58" s="4"/>
      <c r="E58" s="4"/>
      <c r="F58" s="4"/>
      <c r="G58" s="4"/>
      <c r="H58" s="4"/>
      <c r="I58" s="4"/>
      <c r="J58" s="4"/>
      <c r="K58" s="4"/>
      <c r="L58" s="4"/>
      <c r="M58" s="4"/>
      <c r="N58" s="4"/>
      <c r="O58" s="136"/>
      <c r="P58" s="427" t="s">
        <v>181</v>
      </c>
      <c r="Q58" s="427"/>
      <c r="R58" s="427"/>
      <c r="S58" s="427"/>
      <c r="T58" s="427"/>
      <c r="U58" s="427"/>
      <c r="V58" s="427"/>
      <c r="W58" s="427"/>
      <c r="X58" s="427"/>
      <c r="Y58" s="137"/>
      <c r="Z58" s="169"/>
      <c r="AA58" s="169"/>
    </row>
    <row r="59" spans="1:30" ht="13.95" customHeight="1" x14ac:dyDescent="0.15">
      <c r="A59" s="4"/>
      <c r="B59" s="4"/>
      <c r="C59" s="4"/>
      <c r="D59" s="4"/>
      <c r="E59" s="4"/>
      <c r="F59" s="4"/>
      <c r="G59" s="4"/>
      <c r="H59" s="4"/>
      <c r="I59" s="4"/>
      <c r="J59" s="4"/>
      <c r="K59" s="4"/>
      <c r="L59" s="4"/>
      <c r="M59" s="4"/>
      <c r="N59" s="4"/>
      <c r="O59" s="137"/>
      <c r="P59" s="428"/>
      <c r="Q59" s="428"/>
      <c r="R59" s="428"/>
      <c r="S59" s="428"/>
      <c r="T59" s="428"/>
      <c r="U59" s="428"/>
      <c r="V59" s="428"/>
      <c r="W59" s="428"/>
      <c r="X59" s="428"/>
      <c r="Y59" s="136"/>
      <c r="Z59" s="169"/>
      <c r="AA59" s="169"/>
    </row>
    <row r="60" spans="1:30" ht="13.95" customHeight="1" x14ac:dyDescent="0.15">
      <c r="A60" s="4"/>
      <c r="B60" s="4"/>
      <c r="C60" s="4"/>
      <c r="D60" s="4"/>
      <c r="E60" s="4"/>
      <c r="F60" s="4"/>
      <c r="G60" s="4"/>
      <c r="H60" s="4"/>
      <c r="I60" s="4"/>
      <c r="J60" s="4"/>
      <c r="K60" s="4"/>
      <c r="L60" s="4"/>
      <c r="M60" s="4"/>
      <c r="N60" s="4"/>
      <c r="O60" s="136"/>
      <c r="P60" s="428"/>
      <c r="Q60" s="428"/>
      <c r="R60" s="428"/>
      <c r="S60" s="428"/>
      <c r="T60" s="428"/>
      <c r="U60" s="428"/>
      <c r="V60" s="428"/>
      <c r="W60" s="428"/>
      <c r="X60" s="428"/>
      <c r="Y60" s="137"/>
      <c r="Z60" s="169"/>
      <c r="AA60" s="169"/>
    </row>
    <row r="61" spans="1:30" ht="13.95" customHeight="1" x14ac:dyDescent="0.15">
      <c r="A61" s="4"/>
      <c r="B61" s="4"/>
      <c r="C61" s="4"/>
      <c r="D61" s="4"/>
      <c r="E61" s="4"/>
      <c r="F61" s="4"/>
      <c r="G61" s="4"/>
      <c r="H61" s="4"/>
      <c r="I61" s="4"/>
      <c r="J61" s="4"/>
      <c r="K61" s="4"/>
      <c r="L61" s="4"/>
      <c r="M61" s="4"/>
      <c r="N61" s="4"/>
      <c r="O61" s="137"/>
      <c r="P61" s="424" t="s">
        <v>182</v>
      </c>
      <c r="Q61" s="424"/>
      <c r="R61" s="424"/>
      <c r="S61" s="424"/>
      <c r="T61" s="424"/>
      <c r="U61" s="424"/>
      <c r="V61" s="424"/>
      <c r="W61" s="424"/>
      <c r="X61" s="424"/>
      <c r="Y61" s="136"/>
      <c r="Z61" s="169"/>
      <c r="AA61" s="169"/>
    </row>
    <row r="62" spans="1:30" ht="13.95" customHeight="1" x14ac:dyDescent="0.15">
      <c r="A62" s="4"/>
      <c r="B62" s="4"/>
      <c r="C62" s="4"/>
      <c r="D62" s="4"/>
      <c r="E62" s="4"/>
      <c r="F62" s="4"/>
      <c r="G62" s="4"/>
      <c r="H62" s="4"/>
      <c r="I62" s="4"/>
      <c r="J62" s="4"/>
      <c r="K62" s="4"/>
      <c r="L62" s="4"/>
      <c r="M62" s="4"/>
      <c r="N62" s="4"/>
      <c r="O62" s="136"/>
      <c r="P62" s="136"/>
      <c r="Q62" s="136"/>
      <c r="R62" s="136"/>
      <c r="S62" s="136"/>
      <c r="T62" s="136"/>
      <c r="U62" s="136"/>
      <c r="V62" s="136"/>
      <c r="W62" s="136"/>
      <c r="X62" s="136"/>
      <c r="Y62" s="137"/>
      <c r="Z62" s="169"/>
      <c r="AA62" s="169"/>
    </row>
  </sheetData>
  <sheetProtection selectLockedCells="1" selectUnlockedCells="1"/>
  <mergeCells count="105">
    <mergeCell ref="B2:C3"/>
    <mergeCell ref="D2:H3"/>
    <mergeCell ref="I2:J3"/>
    <mergeCell ref="K2:M3"/>
    <mergeCell ref="P2:X3"/>
    <mergeCell ref="P4:Q5"/>
    <mergeCell ref="R4:R5"/>
    <mergeCell ref="S4:T5"/>
    <mergeCell ref="U4:U5"/>
    <mergeCell ref="V4:W5"/>
    <mergeCell ref="X4:X5"/>
    <mergeCell ref="B5:C6"/>
    <mergeCell ref="D5:D6"/>
    <mergeCell ref="F5:G6"/>
    <mergeCell ref="H5:I6"/>
    <mergeCell ref="J5:K6"/>
    <mergeCell ref="L5:M6"/>
    <mergeCell ref="B8:D8"/>
    <mergeCell ref="F8:G9"/>
    <mergeCell ref="I8:M8"/>
    <mergeCell ref="P8:T8"/>
    <mergeCell ref="I9:M29"/>
    <mergeCell ref="P9:T10"/>
    <mergeCell ref="P12:P13"/>
    <mergeCell ref="Q12:Q13"/>
    <mergeCell ref="R12:R13"/>
    <mergeCell ref="P14:X14"/>
    <mergeCell ref="U9:U10"/>
    <mergeCell ref="V9:V10"/>
    <mergeCell ref="W9:W10"/>
    <mergeCell ref="X9:X10"/>
    <mergeCell ref="P11:R11"/>
    <mergeCell ref="S11:U11"/>
    <mergeCell ref="V11:X11"/>
    <mergeCell ref="P15:X16"/>
    <mergeCell ref="P17:X17"/>
    <mergeCell ref="B18:C18"/>
    <mergeCell ref="P19:T19"/>
    <mergeCell ref="P20:T21"/>
    <mergeCell ref="U20:U21"/>
    <mergeCell ref="V20:V21"/>
    <mergeCell ref="W20:W21"/>
    <mergeCell ref="X20:X21"/>
    <mergeCell ref="B21:B22"/>
    <mergeCell ref="C21:G22"/>
    <mergeCell ref="P22:R22"/>
    <mergeCell ref="S22:U22"/>
    <mergeCell ref="V22:X22"/>
    <mergeCell ref="C23:D23"/>
    <mergeCell ref="F23:G23"/>
    <mergeCell ref="P23:P24"/>
    <mergeCell ref="Q23:Q24"/>
    <mergeCell ref="R23:R24"/>
    <mergeCell ref="B24:G24"/>
    <mergeCell ref="B25:G29"/>
    <mergeCell ref="P25:X25"/>
    <mergeCell ref="P26:X27"/>
    <mergeCell ref="P28:X28"/>
    <mergeCell ref="P30:T30"/>
    <mergeCell ref="B31:M31"/>
    <mergeCell ref="P31:T32"/>
    <mergeCell ref="U31:U32"/>
    <mergeCell ref="V31:V32"/>
    <mergeCell ref="W31:W32"/>
    <mergeCell ref="X31:X32"/>
    <mergeCell ref="B32:M35"/>
    <mergeCell ref="P33:R33"/>
    <mergeCell ref="S33:U33"/>
    <mergeCell ref="V33:X33"/>
    <mergeCell ref="P34:P35"/>
    <mergeCell ref="Q34:Q35"/>
    <mergeCell ref="R34:R35"/>
    <mergeCell ref="P36:X36"/>
    <mergeCell ref="P37:X38"/>
    <mergeCell ref="P39:X39"/>
    <mergeCell ref="P41:T41"/>
    <mergeCell ref="P42:T43"/>
    <mergeCell ref="U42:U43"/>
    <mergeCell ref="V42:V43"/>
    <mergeCell ref="W42:W43"/>
    <mergeCell ref="X42:X43"/>
    <mergeCell ref="P44:R44"/>
    <mergeCell ref="S44:U44"/>
    <mergeCell ref="V44:X44"/>
    <mergeCell ref="P45:P46"/>
    <mergeCell ref="Q45:Q46"/>
    <mergeCell ref="R45:R46"/>
    <mergeCell ref="P47:X47"/>
    <mergeCell ref="P48:X49"/>
    <mergeCell ref="P50:X50"/>
    <mergeCell ref="P52:T52"/>
    <mergeCell ref="P53:T54"/>
    <mergeCell ref="U53:U54"/>
    <mergeCell ref="V53:V54"/>
    <mergeCell ref="W53:W54"/>
    <mergeCell ref="X53:X54"/>
    <mergeCell ref="P58:X58"/>
    <mergeCell ref="P59:X60"/>
    <mergeCell ref="P61:X61"/>
    <mergeCell ref="P55:R55"/>
    <mergeCell ref="S55:U55"/>
    <mergeCell ref="V55:X55"/>
    <mergeCell ref="P56:P57"/>
    <mergeCell ref="Q56:Q57"/>
    <mergeCell ref="R56:R57"/>
  </mergeCells>
  <phoneticPr fontId="53"/>
  <dataValidations count="5">
    <dataValidation type="list" operator="equal" sqref="U9 U20 U31 U42 U53" xr:uid="{00000000-0002-0000-0300-000000000000}">
      <formula1>"－,近,中,遠,遠近両用"</formula1>
      <formula2>0</formula2>
    </dataValidation>
    <dataValidation type="list" operator="equal" allowBlank="1" sqref="M2:M3" xr:uid="{00000000-0002-0000-0300-000001000000}">
      <formula1>$AD$2:$AD$12</formula1>
      <formula2>0</formula2>
    </dataValidation>
    <dataValidation operator="equal" allowBlank="1" sqref="F11:G16" xr:uid="{00000000-0002-0000-0300-000002000000}"/>
    <dataValidation type="list" operator="equal" allowBlank="1" sqref="L2" xr:uid="{00000000-0002-0000-0300-000003000000}">
      <formula1>$AB$3:$AB$6</formula1>
      <formula2>0</formula2>
    </dataValidation>
    <dataValidation type="list" operator="equal" allowBlank="1" showErrorMessage="1" sqref="M5:M6" xr:uid="{00000000-0002-0000-0300-000004000000}">
      <formula1>$A$2:$A$8</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7" r:id="rId4" name="察知">
              <controlPr defaultSize="0" autoFill="0" autoLine="0" autoPict="0" altText="察知">
                <anchor moveWithCells="1" sizeWithCells="1">
                  <from>
                    <xdr:col>6</xdr:col>
                    <xdr:colOff>76200</xdr:colOff>
                    <xdr:row>11</xdr:row>
                    <xdr:rowOff>0</xdr:rowOff>
                  </from>
                  <to>
                    <xdr:col>7</xdr:col>
                    <xdr:colOff>45720</xdr:colOff>
                    <xdr:row>11</xdr:row>
                    <xdr:rowOff>167640</xdr:rowOff>
                  </to>
                </anchor>
              </controlPr>
            </control>
          </mc:Choice>
        </mc:AlternateContent>
        <mc:AlternateContent xmlns:mc="http://schemas.openxmlformats.org/markup-compatibility/2006">
          <mc:Choice Requires="x14">
            <control shapeId="4098" r:id="rId5" name="技術">
              <controlPr defaultSize="0" autoFill="0" autoLine="0" autoPict="0" altText="技術">
                <anchor moveWithCells="1" sizeWithCells="1">
                  <from>
                    <xdr:col>6</xdr:col>
                    <xdr:colOff>76200</xdr:colOff>
                    <xdr:row>12</xdr:row>
                    <xdr:rowOff>0</xdr:rowOff>
                  </from>
                  <to>
                    <xdr:col>7</xdr:col>
                    <xdr:colOff>45720</xdr:colOff>
                    <xdr:row>12</xdr:row>
                    <xdr:rowOff>167640</xdr:rowOff>
                  </to>
                </anchor>
              </controlPr>
            </control>
          </mc:Choice>
        </mc:AlternateContent>
        <mc:AlternateContent xmlns:mc="http://schemas.openxmlformats.org/markup-compatibility/2006">
          <mc:Choice Requires="x14">
            <control shapeId="4099" r:id="rId6" name="俊敏">
              <controlPr defaultSize="0" autoFill="0" autoLine="0" autoPict="0" altText="俊敏">
                <anchor moveWithCells="1" sizeWithCells="1">
                  <from>
                    <xdr:col>6</xdr:col>
                    <xdr:colOff>76200</xdr:colOff>
                    <xdr:row>13</xdr:row>
                    <xdr:rowOff>0</xdr:rowOff>
                  </from>
                  <to>
                    <xdr:col>7</xdr:col>
                    <xdr:colOff>45720</xdr:colOff>
                    <xdr:row>13</xdr:row>
                    <xdr:rowOff>167640</xdr:rowOff>
                  </to>
                </anchor>
              </controlPr>
            </control>
          </mc:Choice>
        </mc:AlternateContent>
        <mc:AlternateContent xmlns:mc="http://schemas.openxmlformats.org/markup-compatibility/2006">
          <mc:Choice Requires="x14">
            <control shapeId="4100" r:id="rId7" name="読心">
              <controlPr defaultSize="0" autoFill="0" autoLine="0" autoPict="0" altText="読心">
                <anchor moveWithCells="1" sizeWithCells="1">
                  <from>
                    <xdr:col>6</xdr:col>
                    <xdr:colOff>76200</xdr:colOff>
                    <xdr:row>14</xdr:row>
                    <xdr:rowOff>0</xdr:rowOff>
                  </from>
                  <to>
                    <xdr:col>7</xdr:col>
                    <xdr:colOff>45720</xdr:colOff>
                    <xdr:row>14</xdr:row>
                    <xdr:rowOff>167640</xdr:rowOff>
                  </to>
                </anchor>
              </controlPr>
            </control>
          </mc:Choice>
        </mc:AlternateContent>
        <mc:AlternateContent xmlns:mc="http://schemas.openxmlformats.org/markup-compatibility/2006">
          <mc:Choice Requires="x14">
            <control shapeId="4101" r:id="rId8" name="幸運">
              <controlPr defaultSize="0" autoFill="0" autoLine="0" autoPict="0" altText="幸運">
                <anchor moveWithCells="1" sizeWithCells="1">
                  <from>
                    <xdr:col>6</xdr:col>
                    <xdr:colOff>76200</xdr:colOff>
                    <xdr:row>15</xdr:row>
                    <xdr:rowOff>0</xdr:rowOff>
                  </from>
                  <to>
                    <xdr:col>7</xdr:col>
                    <xdr:colOff>45720</xdr:colOff>
                    <xdr:row>15</xdr:row>
                    <xdr:rowOff>167640</xdr:rowOff>
                  </to>
                </anchor>
              </controlPr>
            </control>
          </mc:Choice>
        </mc:AlternateContent>
        <mc:AlternateContent xmlns:mc="http://schemas.openxmlformats.org/markup-compatibility/2006">
          <mc:Choice Requires="x14">
            <control shapeId="4102" r:id="rId9" name="閃き">
              <controlPr defaultSize="0" autoFill="0" autoLine="0" autoPict="0" altText="閃き">
                <anchor moveWithCells="1" sizeWithCells="1">
                  <from>
                    <xdr:col>5</xdr:col>
                    <xdr:colOff>76200</xdr:colOff>
                    <xdr:row>15</xdr:row>
                    <xdr:rowOff>0</xdr:rowOff>
                  </from>
                  <to>
                    <xdr:col>6</xdr:col>
                    <xdr:colOff>45720</xdr:colOff>
                    <xdr:row>15</xdr:row>
                    <xdr:rowOff>167640</xdr:rowOff>
                  </to>
                </anchor>
              </controlPr>
            </control>
          </mc:Choice>
        </mc:AlternateContent>
        <mc:AlternateContent xmlns:mc="http://schemas.openxmlformats.org/markup-compatibility/2006">
          <mc:Choice Requires="x14">
            <control shapeId="4103" r:id="rId10" name="話術">
              <controlPr defaultSize="0" autoFill="0" autoLine="0" autoPict="0" altText="話術">
                <anchor moveWithCells="1" sizeWithCells="1">
                  <from>
                    <xdr:col>5</xdr:col>
                    <xdr:colOff>76200</xdr:colOff>
                    <xdr:row>14</xdr:row>
                    <xdr:rowOff>0</xdr:rowOff>
                  </from>
                  <to>
                    <xdr:col>6</xdr:col>
                    <xdr:colOff>45720</xdr:colOff>
                    <xdr:row>14</xdr:row>
                    <xdr:rowOff>167640</xdr:rowOff>
                  </to>
                </anchor>
              </controlPr>
            </control>
          </mc:Choice>
        </mc:AlternateContent>
        <mc:AlternateContent xmlns:mc="http://schemas.openxmlformats.org/markup-compatibility/2006">
          <mc:Choice Requires="x14">
            <control shapeId="4104" r:id="rId11" name="隠密">
              <controlPr defaultSize="0" autoFill="0" autoLine="0" autoPict="0" altText="隠密">
                <anchor moveWithCells="1" sizeWithCells="1">
                  <from>
                    <xdr:col>5</xdr:col>
                    <xdr:colOff>76200</xdr:colOff>
                    <xdr:row>13</xdr:row>
                    <xdr:rowOff>0</xdr:rowOff>
                  </from>
                  <to>
                    <xdr:col>6</xdr:col>
                    <xdr:colOff>45720</xdr:colOff>
                    <xdr:row>13</xdr:row>
                    <xdr:rowOff>167640</xdr:rowOff>
                  </to>
                </anchor>
              </controlPr>
            </control>
          </mc:Choice>
        </mc:AlternateContent>
        <mc:AlternateContent xmlns:mc="http://schemas.openxmlformats.org/markup-compatibility/2006">
          <mc:Choice Requires="x14">
            <control shapeId="4105" r:id="rId12" name="知識">
              <controlPr defaultSize="0" autoFill="0" autoLine="0" autoPict="0" altText="知識">
                <anchor moveWithCells="1" sizeWithCells="1">
                  <from>
                    <xdr:col>5</xdr:col>
                    <xdr:colOff>76200</xdr:colOff>
                    <xdr:row>12</xdr:row>
                    <xdr:rowOff>0</xdr:rowOff>
                  </from>
                  <to>
                    <xdr:col>6</xdr:col>
                    <xdr:colOff>45720</xdr:colOff>
                    <xdr:row>12</xdr:row>
                    <xdr:rowOff>167640</xdr:rowOff>
                  </to>
                </anchor>
              </controlPr>
            </control>
          </mc:Choice>
        </mc:AlternateContent>
        <mc:AlternateContent xmlns:mc="http://schemas.openxmlformats.org/markup-compatibility/2006">
          <mc:Choice Requires="x14">
            <control shapeId="4106" r:id="rId13" name="観察眼">
              <controlPr defaultSize="0" autoFill="0" autoLine="0" autoPict="0" altText="観察眼">
                <anchor moveWithCells="1" sizeWithCells="1">
                  <from>
                    <xdr:col>5</xdr:col>
                    <xdr:colOff>76200</xdr:colOff>
                    <xdr:row>11</xdr:row>
                    <xdr:rowOff>0</xdr:rowOff>
                  </from>
                  <to>
                    <xdr:col>6</xdr:col>
                    <xdr:colOff>45720</xdr:colOff>
                    <xdr:row>11</xdr:row>
                    <xdr:rowOff>167640</xdr:rowOff>
                  </to>
                </anchor>
              </controlPr>
            </control>
          </mc:Choice>
        </mc:AlternateContent>
        <mc:AlternateContent xmlns:mc="http://schemas.openxmlformats.org/markup-compatibility/2006">
          <mc:Choice Requires="x14">
            <control shapeId="4107" r:id="rId14" name="力技">
              <controlPr defaultSize="0" autoFill="0" autoLine="0" autoPict="0" altText="力技">
                <anchor moveWithCells="1" sizeWithCells="1">
                  <from>
                    <xdr:col>5</xdr:col>
                    <xdr:colOff>76200</xdr:colOff>
                    <xdr:row>10</xdr:row>
                    <xdr:rowOff>0</xdr:rowOff>
                  </from>
                  <to>
                    <xdr:col>6</xdr:col>
                    <xdr:colOff>45720</xdr:colOff>
                    <xdr:row>10</xdr:row>
                    <xdr:rowOff>167640</xdr:rowOff>
                  </to>
                </anchor>
              </controlPr>
            </control>
          </mc:Choice>
        </mc:AlternateContent>
        <mc:AlternateContent xmlns:mc="http://schemas.openxmlformats.org/markup-compatibility/2006">
          <mc:Choice Requires="x14">
            <control shapeId="4108" r:id="rId15" name="威圧">
              <controlPr defaultSize="0" autoFill="0" autoLine="0" autoPict="0" altText="威圧">
                <anchor moveWithCells="1" sizeWithCells="1">
                  <from>
                    <xdr:col>6</xdr:col>
                    <xdr:colOff>76200</xdr:colOff>
                    <xdr:row>10</xdr:row>
                    <xdr:rowOff>0</xdr:rowOff>
                  </from>
                  <to>
                    <xdr:col>7</xdr:col>
                    <xdr:colOff>45720</xdr:colOff>
                    <xdr:row>10</xdr:row>
                    <xdr:rowOff>167640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xr:uid="{00000000-0002-0000-0300-000005000000}">
          <x14:formula1>
            <xm:f>リスト!$Z$2:$Z$16</xm:f>
          </x14:formula1>
          <x14:formula2>
            <xm:f>0</xm:f>
          </x14:formula2>
          <xm:sqref>V12:X13 V23:X24 V34:X35 V45:X46 V56:X57</xm:sqref>
        </x14:dataValidation>
        <x14:dataValidation type="list" operator="equal" allowBlank="1" xr:uid="{00000000-0002-0000-0300-000007000000}">
          <x14:formula1>
            <xm:f>リスト!$V$2:$V$8</xm:f>
          </x14:formula1>
          <x14:formula2>
            <xm:f>0</xm:f>
          </x14:formula2>
          <xm:sqref>P12:R12 P23:R23 P34:R34 P45:R45 P56:R56</xm:sqref>
        </x14:dataValidation>
        <x14:dataValidation type="list" operator="equal" allowBlank="1" xr:uid="{00000000-0002-0000-0300-000008000000}">
          <x14:formula1>
            <xm:f>リスト!$T$26:$T$33</xm:f>
          </x14:formula1>
          <x14:formula2>
            <xm:f>0</xm:f>
          </x14:formula2>
          <xm:sqref>V9 V20 V31 V42 V53</xm:sqref>
        </x14:dataValidation>
        <x14:dataValidation type="list" operator="equal" allowBlank="1" xr:uid="{00000000-0002-0000-0300-000009000000}">
          <x14:formula1>
            <xm:f>リスト!$X$2:$X$46</xm:f>
          </x14:formula1>
          <x14:formula2>
            <xm:f>0</xm:f>
          </x14:formula2>
          <xm:sqref>S12:U13 S23:U24 S34:U35 S45:U46 S56:U57</xm:sqref>
        </x14:dataValidation>
        <x14:dataValidation type="list" operator="equal" allowBlank="1" showErrorMessage="1" xr:uid="{00000000-0002-0000-0300-00000A000000}">
          <x14:formula1>
            <xm:f>リスト!$A$2:$A$8</xm:f>
          </x14:formula1>
          <x14:formula2>
            <xm:f>0</xm:f>
          </x14:formula2>
          <xm:sqref>L5</xm:sqref>
        </x14:dataValidation>
        <x14:dataValidation type="list" operator="equal" allowBlank="1" xr:uid="{00000000-0002-0000-0300-00000B000000}">
          <x14:formula1>
            <xm:f>リスト!$AD$2:$AD$12</xm:f>
          </x14:formula1>
          <x14:formula2>
            <xm:f>0</xm:f>
          </x14:formula2>
          <xm:sqref>D5</xm:sqref>
        </x14:dataValidation>
        <x14:dataValidation type="list" operator="equal" allowBlank="1" xr:uid="{00000000-0002-0000-0300-00000C000000}">
          <x14:formula1>
            <xm:f>リスト!$AB$2:$AB$5</xm:f>
          </x14:formula1>
          <x14:formula2>
            <xm:f>0</xm:f>
          </x14:formula2>
          <xm:sqref>K2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T65536"/>
  <sheetViews>
    <sheetView workbookViewId="0">
      <pane xSplit="12" topLeftCell="M1" activePane="topRight" state="frozen"/>
      <selection pane="topRight" activeCell="O24" sqref="O24"/>
    </sheetView>
  </sheetViews>
  <sheetFormatPr defaultColWidth="6.77734375" defaultRowHeight="13.95" customHeight="1" x14ac:dyDescent="0.15"/>
  <cols>
    <col min="1" max="16384" width="6.77734375" style="4"/>
  </cols>
  <sheetData>
    <row r="1" spans="1:254" ht="13.95" customHeight="1" x14ac:dyDescent="0.15">
      <c r="A1" s="4" t="s">
        <v>68</v>
      </c>
    </row>
    <row r="2" spans="1:254" ht="13.95" customHeight="1" x14ac:dyDescent="0.15">
      <c r="A2" s="4" t="s">
        <v>69</v>
      </c>
    </row>
    <row r="3" spans="1:254" ht="13.95" customHeight="1" x14ac:dyDescent="0.15">
      <c r="A3" s="4" t="s">
        <v>217</v>
      </c>
    </row>
    <row r="4" spans="1:254" ht="13.95" customHeight="1" x14ac:dyDescent="0.15">
      <c r="A4" s="4" t="s">
        <v>218</v>
      </c>
    </row>
    <row r="5" spans="1:254" ht="13.95" customHeight="1" x14ac:dyDescent="0.15">
      <c r="A5" s="4" t="s">
        <v>219</v>
      </c>
    </row>
    <row r="7" spans="1:254" ht="13.95" customHeight="1" x14ac:dyDescent="0.15">
      <c r="A7" s="20"/>
      <c r="B7" s="170" t="s">
        <v>264</v>
      </c>
      <c r="C7" s="504" t="s">
        <v>220</v>
      </c>
      <c r="D7" s="504"/>
      <c r="E7" s="504"/>
      <c r="F7" s="504"/>
      <c r="G7" s="504"/>
      <c r="H7" s="504"/>
    </row>
    <row r="8" spans="1:254" ht="13.95" customHeight="1" x14ac:dyDescent="0.15">
      <c r="A8" s="171"/>
      <c r="B8" s="170" t="s">
        <v>265</v>
      </c>
      <c r="C8" s="505"/>
      <c r="D8" s="505"/>
      <c r="E8" s="505"/>
      <c r="F8" s="505"/>
      <c r="G8" s="505"/>
      <c r="H8" s="505"/>
    </row>
    <row r="9" spans="1:254" s="173" customFormat="1" ht="13.95" customHeight="1" x14ac:dyDescent="0.15">
      <c r="A9" s="4"/>
      <c r="B9" s="4"/>
      <c r="C9" s="505"/>
      <c r="D9" s="505"/>
      <c r="E9" s="505"/>
      <c r="F9" s="505"/>
      <c r="G9" s="505"/>
      <c r="H9" s="505"/>
      <c r="I9" s="4"/>
      <c r="J9" s="172"/>
      <c r="K9" s="172"/>
      <c r="L9" s="172"/>
      <c r="M9" s="506" t="s">
        <v>221</v>
      </c>
      <c r="N9" s="498" t="s">
        <v>222</v>
      </c>
      <c r="O9" s="498"/>
      <c r="P9" s="498"/>
      <c r="Q9" s="498"/>
      <c r="R9" s="498"/>
      <c r="S9" s="498"/>
      <c r="T9" s="498"/>
      <c r="U9" s="498"/>
      <c r="V9" s="498"/>
      <c r="W9" s="498"/>
      <c r="X9" s="498"/>
      <c r="Y9" s="498"/>
      <c r="Z9" s="498"/>
      <c r="AA9" s="498"/>
      <c r="AB9" s="498"/>
      <c r="AC9" s="498"/>
      <c r="AD9" s="498"/>
      <c r="AE9" s="498"/>
      <c r="AF9" s="498"/>
      <c r="AG9" s="498"/>
      <c r="AH9" s="498"/>
      <c r="AI9" s="498"/>
      <c r="AJ9" s="498"/>
      <c r="AK9" s="498"/>
      <c r="AL9" s="498"/>
      <c r="AM9" s="498"/>
      <c r="AN9" s="498"/>
      <c r="AO9" s="498"/>
      <c r="AP9" s="498"/>
      <c r="AQ9" s="498"/>
      <c r="AR9" s="498"/>
      <c r="AS9" s="498"/>
      <c r="AT9" s="498"/>
      <c r="AU9" s="498"/>
      <c r="AV9" s="498"/>
      <c r="AW9" s="498"/>
      <c r="AX9" s="498"/>
      <c r="AY9" s="498"/>
      <c r="AZ9" s="498"/>
      <c r="BA9" s="498"/>
      <c r="BB9" s="498"/>
      <c r="BC9" s="498"/>
      <c r="BD9" s="498"/>
      <c r="BE9" s="498"/>
      <c r="BF9" s="498"/>
      <c r="BG9" s="498"/>
      <c r="BH9" s="498"/>
      <c r="BI9" s="498"/>
      <c r="BJ9" s="498"/>
      <c r="BK9" s="498"/>
      <c r="BL9" s="498"/>
      <c r="BM9" s="498"/>
      <c r="BN9" s="498"/>
      <c r="BO9" s="498"/>
      <c r="BP9" s="498"/>
      <c r="BQ9" s="498"/>
      <c r="BR9" s="498"/>
      <c r="BS9" s="498"/>
      <c r="BT9" s="498"/>
      <c r="BU9" s="498"/>
      <c r="BV9" s="498"/>
      <c r="BW9" s="498"/>
      <c r="BX9" s="498"/>
      <c r="BY9" s="498"/>
      <c r="BZ9" s="498"/>
      <c r="CA9" s="498"/>
      <c r="CB9" s="498"/>
      <c r="CC9" s="498"/>
      <c r="CD9" s="498"/>
      <c r="CE9" s="498"/>
      <c r="CF9" s="498"/>
      <c r="CG9" s="498"/>
      <c r="CH9" s="498"/>
      <c r="CI9" s="498"/>
      <c r="CJ9" s="498"/>
      <c r="CK9" s="498"/>
      <c r="CL9" s="498"/>
      <c r="CM9" s="498"/>
      <c r="CN9" s="498"/>
      <c r="CO9" s="498"/>
      <c r="CP9" s="498"/>
      <c r="CQ9" s="498"/>
      <c r="CR9" s="498"/>
      <c r="CS9" s="498"/>
      <c r="CT9" s="498"/>
      <c r="CU9" s="498"/>
      <c r="CV9" s="498"/>
      <c r="CW9" s="498"/>
      <c r="CX9" s="498"/>
      <c r="CY9" s="498"/>
      <c r="CZ9" s="498"/>
      <c r="DA9" s="498"/>
      <c r="DB9" s="498"/>
      <c r="DC9" s="498"/>
      <c r="DD9" s="498"/>
      <c r="DE9" s="498"/>
      <c r="DF9" s="498"/>
      <c r="DG9" s="498"/>
      <c r="DH9" s="498"/>
      <c r="DI9" s="498"/>
      <c r="DJ9" s="498"/>
      <c r="DK9" s="498"/>
      <c r="DL9" s="498"/>
      <c r="DM9" s="498"/>
      <c r="DN9" s="498"/>
      <c r="DO9" s="498"/>
      <c r="DP9" s="498"/>
      <c r="DQ9" s="498"/>
      <c r="DR9" s="498"/>
      <c r="DS9" s="498"/>
      <c r="DT9" s="498"/>
      <c r="DU9" s="498"/>
      <c r="DV9" s="498"/>
      <c r="DW9" s="498"/>
      <c r="DX9" s="498"/>
      <c r="DY9" s="498"/>
      <c r="DZ9" s="498"/>
      <c r="EA9" s="498"/>
      <c r="EB9" s="498"/>
      <c r="EC9" s="498"/>
      <c r="ED9" s="498"/>
      <c r="EE9" s="498"/>
      <c r="EF9" s="498"/>
      <c r="EG9" s="498"/>
      <c r="EH9" s="498"/>
      <c r="EI9" s="498"/>
      <c r="EJ9" s="498"/>
      <c r="EK9" s="498"/>
      <c r="EL9" s="498"/>
      <c r="EM9" s="498"/>
      <c r="EN9" s="498"/>
      <c r="EO9" s="498"/>
      <c r="EP9" s="498"/>
      <c r="EQ9" s="498"/>
      <c r="ER9" s="498"/>
      <c r="ES9" s="498"/>
      <c r="ET9" s="498"/>
      <c r="EU9" s="498"/>
      <c r="EV9" s="498"/>
      <c r="EW9" s="498"/>
      <c r="EX9" s="498"/>
      <c r="EY9" s="498"/>
      <c r="EZ9" s="498"/>
      <c r="FA9" s="498"/>
      <c r="FB9" s="498"/>
      <c r="FC9" s="498"/>
      <c r="FD9" s="498"/>
      <c r="FE9" s="498"/>
      <c r="FF9" s="498"/>
      <c r="FG9" s="498"/>
      <c r="FH9" s="498"/>
      <c r="FI9" s="498"/>
      <c r="FJ9" s="498"/>
      <c r="FK9" s="498"/>
      <c r="FL9" s="498"/>
      <c r="FM9" s="498"/>
      <c r="FN9" s="498"/>
      <c r="FO9" s="498"/>
      <c r="FP9" s="498"/>
      <c r="FQ9" s="498"/>
      <c r="FR9" s="498"/>
      <c r="FS9" s="498"/>
      <c r="FT9" s="498"/>
      <c r="FU9" s="498"/>
      <c r="FV9" s="498"/>
      <c r="FW9" s="498"/>
      <c r="FX9" s="498"/>
      <c r="FY9" s="498"/>
      <c r="FZ9" s="498"/>
      <c r="GA9" s="498"/>
      <c r="GB9" s="498"/>
      <c r="GC9" s="498"/>
      <c r="GD9" s="498"/>
      <c r="GE9" s="498"/>
      <c r="GF9" s="498"/>
      <c r="GG9" s="498"/>
      <c r="GH9" s="498"/>
      <c r="GI9" s="498"/>
      <c r="GJ9" s="498"/>
      <c r="GK9" s="498"/>
      <c r="GL9" s="498"/>
      <c r="GM9" s="498"/>
      <c r="GN9" s="498"/>
      <c r="GO9" s="498"/>
      <c r="GP9" s="498"/>
      <c r="GQ9" s="498"/>
      <c r="GR9" s="498"/>
      <c r="GS9" s="498"/>
      <c r="GT9" s="498"/>
      <c r="GU9" s="498"/>
      <c r="GV9" s="498"/>
      <c r="GW9" s="498"/>
      <c r="GX9" s="498"/>
      <c r="GY9" s="498"/>
      <c r="GZ9" s="498"/>
      <c r="HA9" s="498"/>
      <c r="HB9" s="498"/>
      <c r="HC9" s="498"/>
      <c r="HD9" s="498"/>
      <c r="HE9" s="498"/>
      <c r="HF9" s="498"/>
      <c r="HG9" s="498"/>
      <c r="HH9" s="498"/>
      <c r="HI9" s="498"/>
      <c r="HJ9" s="498"/>
      <c r="HK9" s="498"/>
      <c r="HL9" s="498"/>
      <c r="HM9" s="498"/>
      <c r="HN9" s="498"/>
      <c r="HO9" s="498"/>
      <c r="HP9" s="498"/>
      <c r="HQ9" s="498"/>
      <c r="HR9" s="498"/>
      <c r="HS9" s="498"/>
      <c r="HT9" s="498"/>
      <c r="HU9" s="498"/>
      <c r="HV9" s="498"/>
      <c r="HW9" s="498"/>
      <c r="HX9" s="498"/>
      <c r="HY9" s="498"/>
      <c r="HZ9" s="498"/>
      <c r="IA9" s="498"/>
      <c r="IB9" s="498"/>
      <c r="IC9" s="498"/>
      <c r="ID9" s="498"/>
      <c r="IE9" s="498"/>
      <c r="IF9" s="498"/>
      <c r="IG9" s="498"/>
      <c r="IH9" s="498"/>
      <c r="II9" s="498"/>
      <c r="IJ9" s="498"/>
      <c r="IK9" s="498"/>
      <c r="IL9" s="499"/>
      <c r="IM9" s="4"/>
      <c r="IN9" s="4"/>
      <c r="IO9" s="4"/>
      <c r="IP9" s="4"/>
      <c r="IQ9" s="4"/>
      <c r="IR9" s="4"/>
      <c r="IS9" s="4"/>
      <c r="IT9" s="4"/>
    </row>
    <row r="10" spans="1:254" s="173" customFormat="1" ht="13.95" customHeight="1" x14ac:dyDescent="0.15">
      <c r="A10" s="23"/>
      <c r="B10" s="170" t="s">
        <v>266</v>
      </c>
      <c r="C10" s="505"/>
      <c r="D10" s="505"/>
      <c r="E10" s="505"/>
      <c r="F10" s="505"/>
      <c r="G10" s="505"/>
      <c r="H10" s="505"/>
      <c r="I10" s="172"/>
      <c r="J10" s="172"/>
      <c r="K10" s="172"/>
      <c r="L10" s="172"/>
      <c r="M10" s="506"/>
      <c r="N10" s="506"/>
      <c r="O10" s="506"/>
      <c r="P10" s="498"/>
      <c r="Q10" s="498"/>
      <c r="R10" s="498"/>
      <c r="S10" s="498"/>
      <c r="T10" s="498"/>
      <c r="U10" s="498"/>
      <c r="V10" s="498"/>
      <c r="W10" s="498"/>
      <c r="X10" s="498"/>
      <c r="Y10" s="498"/>
      <c r="Z10" s="498"/>
      <c r="AA10" s="498"/>
      <c r="AB10" s="498"/>
      <c r="AC10" s="498"/>
      <c r="AD10" s="498"/>
      <c r="AE10" s="498"/>
      <c r="AF10" s="498"/>
      <c r="AG10" s="498"/>
      <c r="AH10" s="498"/>
      <c r="AI10" s="498"/>
      <c r="AJ10" s="498"/>
      <c r="AK10" s="498"/>
      <c r="AL10" s="498"/>
      <c r="AM10" s="498"/>
      <c r="AN10" s="498"/>
      <c r="AO10" s="498"/>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c r="CQ10" s="498"/>
      <c r="CR10" s="498"/>
      <c r="CS10" s="498"/>
      <c r="CT10" s="498"/>
      <c r="CU10" s="498"/>
      <c r="CV10" s="498"/>
      <c r="CW10" s="498"/>
      <c r="CX10" s="498"/>
      <c r="CY10" s="498"/>
      <c r="CZ10" s="498"/>
      <c r="DA10" s="498"/>
      <c r="DB10" s="498"/>
      <c r="DC10" s="498"/>
      <c r="DD10" s="498"/>
      <c r="DE10" s="498"/>
      <c r="DF10" s="498"/>
      <c r="DG10" s="498"/>
      <c r="DH10" s="498"/>
      <c r="DI10" s="498"/>
      <c r="DJ10" s="498"/>
      <c r="DK10" s="498"/>
      <c r="DL10" s="498"/>
      <c r="DM10" s="498"/>
      <c r="DN10" s="498"/>
      <c r="DO10" s="498"/>
      <c r="DP10" s="498"/>
      <c r="DQ10" s="498"/>
      <c r="DR10" s="498"/>
      <c r="DS10" s="498"/>
      <c r="DT10" s="498"/>
      <c r="DU10" s="498"/>
      <c r="DV10" s="498"/>
      <c r="DW10" s="498"/>
      <c r="DX10" s="498"/>
      <c r="DY10" s="498"/>
      <c r="DZ10" s="498"/>
      <c r="EA10" s="498"/>
      <c r="EB10" s="498"/>
      <c r="EC10" s="498"/>
      <c r="ED10" s="498"/>
      <c r="EE10" s="498"/>
      <c r="EF10" s="498"/>
      <c r="EG10" s="498"/>
      <c r="EH10" s="498"/>
      <c r="EI10" s="498"/>
      <c r="EJ10" s="498"/>
      <c r="EK10" s="498"/>
      <c r="EL10" s="498"/>
      <c r="EM10" s="498"/>
      <c r="EN10" s="498"/>
      <c r="EO10" s="498"/>
      <c r="EP10" s="498"/>
      <c r="EQ10" s="498"/>
      <c r="ER10" s="498"/>
      <c r="ES10" s="498"/>
      <c r="ET10" s="498"/>
      <c r="EU10" s="498"/>
      <c r="EV10" s="498"/>
      <c r="EW10" s="498"/>
      <c r="EX10" s="498"/>
      <c r="EY10" s="498"/>
      <c r="EZ10" s="498"/>
      <c r="FA10" s="498"/>
      <c r="FB10" s="498"/>
      <c r="FC10" s="498"/>
      <c r="FD10" s="498"/>
      <c r="FE10" s="498"/>
      <c r="FF10" s="498"/>
      <c r="FG10" s="498"/>
      <c r="FH10" s="498"/>
      <c r="FI10" s="498"/>
      <c r="FJ10" s="498"/>
      <c r="FK10" s="498"/>
      <c r="FL10" s="498"/>
      <c r="FM10" s="498"/>
      <c r="FN10" s="498"/>
      <c r="FO10" s="498"/>
      <c r="FP10" s="498"/>
      <c r="FQ10" s="498"/>
      <c r="FR10" s="498"/>
      <c r="FS10" s="498"/>
      <c r="FT10" s="498"/>
      <c r="FU10" s="498"/>
      <c r="FV10" s="498"/>
      <c r="FW10" s="498"/>
      <c r="FX10" s="498"/>
      <c r="FY10" s="498"/>
      <c r="FZ10" s="498"/>
      <c r="GA10" s="498"/>
      <c r="GB10" s="498"/>
      <c r="GC10" s="498"/>
      <c r="GD10" s="498"/>
      <c r="GE10" s="498"/>
      <c r="GF10" s="498"/>
      <c r="GG10" s="498"/>
      <c r="GH10" s="498"/>
      <c r="GI10" s="498"/>
      <c r="GJ10" s="498"/>
      <c r="GK10" s="498"/>
      <c r="GL10" s="498"/>
      <c r="GM10" s="498"/>
      <c r="GN10" s="498"/>
      <c r="GO10" s="498"/>
      <c r="GP10" s="498"/>
      <c r="GQ10" s="498"/>
      <c r="GR10" s="498"/>
      <c r="GS10" s="498"/>
      <c r="GT10" s="498"/>
      <c r="GU10" s="498"/>
      <c r="GV10" s="498"/>
      <c r="GW10" s="498"/>
      <c r="GX10" s="498"/>
      <c r="GY10" s="498"/>
      <c r="GZ10" s="498"/>
      <c r="HA10" s="498"/>
      <c r="HB10" s="498"/>
      <c r="HC10" s="498"/>
      <c r="HD10" s="498"/>
      <c r="HE10" s="498"/>
      <c r="HF10" s="498"/>
      <c r="HG10" s="498"/>
      <c r="HH10" s="498"/>
      <c r="HI10" s="498"/>
      <c r="HJ10" s="498"/>
      <c r="HK10" s="498"/>
      <c r="HL10" s="498"/>
      <c r="HM10" s="498"/>
      <c r="HN10" s="498"/>
      <c r="HO10" s="498"/>
      <c r="HP10" s="498"/>
      <c r="HQ10" s="498"/>
      <c r="HR10" s="498"/>
      <c r="HS10" s="498"/>
      <c r="HT10" s="498"/>
      <c r="HU10" s="498"/>
      <c r="HV10" s="498"/>
      <c r="HW10" s="498"/>
      <c r="HX10" s="498"/>
      <c r="HY10" s="498"/>
      <c r="HZ10" s="498"/>
      <c r="IA10" s="498"/>
      <c r="IB10" s="498"/>
      <c r="IC10" s="498"/>
      <c r="ID10" s="498"/>
      <c r="IE10" s="498"/>
      <c r="IF10" s="498"/>
      <c r="IG10" s="498"/>
      <c r="IH10" s="498"/>
      <c r="II10" s="498"/>
      <c r="IJ10" s="498"/>
      <c r="IK10" s="498"/>
      <c r="IL10" s="498"/>
      <c r="IM10" s="4"/>
      <c r="IN10" s="4"/>
      <c r="IO10" s="4"/>
      <c r="IP10" s="4"/>
      <c r="IQ10" s="4"/>
      <c r="IR10" s="4"/>
      <c r="IS10" s="4"/>
      <c r="IT10" s="4"/>
    </row>
    <row r="11" spans="1:254" s="173" customFormat="1" ht="13.95" customHeight="1" x14ac:dyDescent="0.15">
      <c r="A11" s="174"/>
      <c r="B11" s="170" t="s">
        <v>266</v>
      </c>
      <c r="C11" s="505"/>
      <c r="D11" s="505"/>
      <c r="E11" s="505"/>
      <c r="F11" s="505"/>
      <c r="G11" s="505"/>
      <c r="H11" s="505"/>
      <c r="I11" s="172"/>
      <c r="J11" s="172"/>
      <c r="K11" s="172"/>
      <c r="L11" s="172"/>
      <c r="M11" s="506"/>
      <c r="N11" s="506"/>
      <c r="O11" s="506"/>
      <c r="P11" s="498"/>
      <c r="Q11" s="498"/>
      <c r="R11" s="498"/>
      <c r="S11" s="498"/>
      <c r="T11" s="498"/>
      <c r="U11" s="498"/>
      <c r="V11" s="498"/>
      <c r="W11" s="498"/>
      <c r="X11" s="498"/>
      <c r="Y11" s="498"/>
      <c r="Z11" s="498"/>
      <c r="AA11" s="498"/>
      <c r="AB11" s="498"/>
      <c r="AC11" s="498"/>
      <c r="AD11" s="498"/>
      <c r="AE11" s="498"/>
      <c r="AF11" s="498"/>
      <c r="AG11" s="498"/>
      <c r="AH11" s="498"/>
      <c r="AI11" s="498"/>
      <c r="AJ11" s="498"/>
      <c r="AK11" s="498"/>
      <c r="AL11" s="498"/>
      <c r="AM11" s="498"/>
      <c r="AN11" s="498"/>
      <c r="AO11" s="498"/>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c r="CQ11" s="498"/>
      <c r="CR11" s="498"/>
      <c r="CS11" s="498"/>
      <c r="CT11" s="498"/>
      <c r="CU11" s="498"/>
      <c r="CV11" s="498"/>
      <c r="CW11" s="498"/>
      <c r="CX11" s="498"/>
      <c r="CY11" s="498"/>
      <c r="CZ11" s="498"/>
      <c r="DA11" s="498"/>
      <c r="DB11" s="498"/>
      <c r="DC11" s="498"/>
      <c r="DD11" s="498"/>
      <c r="DE11" s="498"/>
      <c r="DF11" s="498"/>
      <c r="DG11" s="498"/>
      <c r="DH11" s="498"/>
      <c r="DI11" s="498"/>
      <c r="DJ11" s="498"/>
      <c r="DK11" s="498"/>
      <c r="DL11" s="498"/>
      <c r="DM11" s="498"/>
      <c r="DN11" s="498"/>
      <c r="DO11" s="498"/>
      <c r="DP11" s="498"/>
      <c r="DQ11" s="498"/>
      <c r="DR11" s="498"/>
      <c r="DS11" s="498"/>
      <c r="DT11" s="498"/>
      <c r="DU11" s="498"/>
      <c r="DV11" s="498"/>
      <c r="DW11" s="498"/>
      <c r="DX11" s="498"/>
      <c r="DY11" s="498"/>
      <c r="DZ11" s="498"/>
      <c r="EA11" s="498"/>
      <c r="EB11" s="498"/>
      <c r="EC11" s="498"/>
      <c r="ED11" s="498"/>
      <c r="EE11" s="498"/>
      <c r="EF11" s="498"/>
      <c r="EG11" s="498"/>
      <c r="EH11" s="498"/>
      <c r="EI11" s="498"/>
      <c r="EJ11" s="498"/>
      <c r="EK11" s="498"/>
      <c r="EL11" s="498"/>
      <c r="EM11" s="498"/>
      <c r="EN11" s="498"/>
      <c r="EO11" s="498"/>
      <c r="EP11" s="498"/>
      <c r="EQ11" s="498"/>
      <c r="ER11" s="498"/>
      <c r="ES11" s="498"/>
      <c r="ET11" s="498"/>
      <c r="EU11" s="498"/>
      <c r="EV11" s="498"/>
      <c r="EW11" s="498"/>
      <c r="EX11" s="498"/>
      <c r="EY11" s="498"/>
      <c r="EZ11" s="498"/>
      <c r="FA11" s="498"/>
      <c r="FB11" s="498"/>
      <c r="FC11" s="498"/>
      <c r="FD11" s="498"/>
      <c r="FE11" s="498"/>
      <c r="FF11" s="498"/>
      <c r="FG11" s="498"/>
      <c r="FH11" s="498"/>
      <c r="FI11" s="498"/>
      <c r="FJ11" s="498"/>
      <c r="FK11" s="498"/>
      <c r="FL11" s="498"/>
      <c r="FM11" s="498"/>
      <c r="FN11" s="498"/>
      <c r="FO11" s="498"/>
      <c r="FP11" s="498"/>
      <c r="FQ11" s="498"/>
      <c r="FR11" s="498"/>
      <c r="FS11" s="498"/>
      <c r="FT11" s="498"/>
      <c r="FU11" s="498"/>
      <c r="FV11" s="498"/>
      <c r="FW11" s="498"/>
      <c r="FX11" s="498"/>
      <c r="FY11" s="498"/>
      <c r="FZ11" s="498"/>
      <c r="GA11" s="498"/>
      <c r="GB11" s="498"/>
      <c r="GC11" s="498"/>
      <c r="GD11" s="498"/>
      <c r="GE11" s="498"/>
      <c r="GF11" s="498"/>
      <c r="GG11" s="498"/>
      <c r="GH11" s="498"/>
      <c r="GI11" s="498"/>
      <c r="GJ11" s="498"/>
      <c r="GK11" s="498"/>
      <c r="GL11" s="498"/>
      <c r="GM11" s="498"/>
      <c r="GN11" s="498"/>
      <c r="GO11" s="498"/>
      <c r="GP11" s="498"/>
      <c r="GQ11" s="498"/>
      <c r="GR11" s="498"/>
      <c r="GS11" s="498"/>
      <c r="GT11" s="498"/>
      <c r="GU11" s="498"/>
      <c r="GV11" s="498"/>
      <c r="GW11" s="498"/>
      <c r="GX11" s="498"/>
      <c r="GY11" s="498"/>
      <c r="GZ11" s="498"/>
      <c r="HA11" s="498"/>
      <c r="HB11" s="498"/>
      <c r="HC11" s="498"/>
      <c r="HD11" s="498"/>
      <c r="HE11" s="498"/>
      <c r="HF11" s="498"/>
      <c r="HG11" s="498"/>
      <c r="HH11" s="498"/>
      <c r="HI11" s="498"/>
      <c r="HJ11" s="498"/>
      <c r="HK11" s="498"/>
      <c r="HL11" s="498"/>
      <c r="HM11" s="498"/>
      <c r="HN11" s="498"/>
      <c r="HO11" s="498"/>
      <c r="HP11" s="498"/>
      <c r="HQ11" s="498"/>
      <c r="HR11" s="498"/>
      <c r="HS11" s="498"/>
      <c r="HT11" s="498"/>
      <c r="HU11" s="498"/>
      <c r="HV11" s="498"/>
      <c r="HW11" s="498"/>
      <c r="HX11" s="498"/>
      <c r="HY11" s="498"/>
      <c r="HZ11" s="498"/>
      <c r="IA11" s="498"/>
      <c r="IB11" s="498"/>
      <c r="IC11" s="498"/>
      <c r="ID11" s="498"/>
      <c r="IE11" s="498"/>
      <c r="IF11" s="498"/>
      <c r="IG11" s="498"/>
      <c r="IH11" s="498"/>
      <c r="II11" s="498"/>
      <c r="IJ11" s="498"/>
      <c r="IK11" s="498"/>
      <c r="IL11" s="498"/>
      <c r="IM11" s="4"/>
      <c r="IN11" s="4"/>
      <c r="IO11" s="4"/>
      <c r="IP11" s="4"/>
      <c r="IQ11" s="4"/>
      <c r="IR11" s="4"/>
      <c r="IS11" s="4"/>
      <c r="IT11" s="4"/>
    </row>
    <row r="12" spans="1:254" s="173" customFormat="1" ht="13.95" customHeight="1" x14ac:dyDescent="0.15">
      <c r="A12" s="4"/>
      <c r="B12" s="4"/>
      <c r="C12" s="505"/>
      <c r="D12" s="505"/>
      <c r="E12" s="505"/>
      <c r="F12" s="505"/>
      <c r="G12" s="505"/>
      <c r="H12" s="505"/>
      <c r="I12" s="172"/>
      <c r="J12" s="4"/>
      <c r="K12" s="4"/>
      <c r="L12" s="4"/>
      <c r="M12" s="506"/>
      <c r="N12" s="506"/>
      <c r="O12" s="506"/>
      <c r="P12" s="498"/>
      <c r="Q12" s="498"/>
      <c r="R12" s="498"/>
      <c r="S12" s="498"/>
      <c r="T12" s="498"/>
      <c r="U12" s="498"/>
      <c r="V12" s="498"/>
      <c r="W12" s="498"/>
      <c r="X12" s="498"/>
      <c r="Y12" s="498"/>
      <c r="Z12" s="498"/>
      <c r="AA12" s="498"/>
      <c r="AB12" s="498"/>
      <c r="AC12" s="498"/>
      <c r="AD12" s="498"/>
      <c r="AE12" s="498"/>
      <c r="AF12" s="498"/>
      <c r="AG12" s="498"/>
      <c r="AH12" s="498"/>
      <c r="AI12" s="498"/>
      <c r="AJ12" s="498"/>
      <c r="AK12" s="498"/>
      <c r="AL12" s="498"/>
      <c r="AM12" s="498"/>
      <c r="AN12" s="498"/>
      <c r="AO12" s="498"/>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c r="CQ12" s="498"/>
      <c r="CR12" s="498"/>
      <c r="CS12" s="498"/>
      <c r="CT12" s="498"/>
      <c r="CU12" s="498"/>
      <c r="CV12" s="498"/>
      <c r="CW12" s="498"/>
      <c r="CX12" s="498"/>
      <c r="CY12" s="498"/>
      <c r="CZ12" s="498"/>
      <c r="DA12" s="498"/>
      <c r="DB12" s="498"/>
      <c r="DC12" s="498"/>
      <c r="DD12" s="498"/>
      <c r="DE12" s="498"/>
      <c r="DF12" s="498"/>
      <c r="DG12" s="498"/>
      <c r="DH12" s="498"/>
      <c r="DI12" s="498"/>
      <c r="DJ12" s="498"/>
      <c r="DK12" s="498"/>
      <c r="DL12" s="498"/>
      <c r="DM12" s="498"/>
      <c r="DN12" s="498"/>
      <c r="DO12" s="498"/>
      <c r="DP12" s="498"/>
      <c r="DQ12" s="498"/>
      <c r="DR12" s="498"/>
      <c r="DS12" s="498"/>
      <c r="DT12" s="498"/>
      <c r="DU12" s="498"/>
      <c r="DV12" s="498"/>
      <c r="DW12" s="498"/>
      <c r="DX12" s="498"/>
      <c r="DY12" s="498"/>
      <c r="DZ12" s="498"/>
      <c r="EA12" s="498"/>
      <c r="EB12" s="498"/>
      <c r="EC12" s="498"/>
      <c r="ED12" s="498"/>
      <c r="EE12" s="498"/>
      <c r="EF12" s="498"/>
      <c r="EG12" s="498"/>
      <c r="EH12" s="498"/>
      <c r="EI12" s="498"/>
      <c r="EJ12" s="498"/>
      <c r="EK12" s="498"/>
      <c r="EL12" s="498"/>
      <c r="EM12" s="498"/>
      <c r="EN12" s="498"/>
      <c r="EO12" s="498"/>
      <c r="EP12" s="498"/>
      <c r="EQ12" s="498"/>
      <c r="ER12" s="498"/>
      <c r="ES12" s="498"/>
      <c r="ET12" s="498"/>
      <c r="EU12" s="498"/>
      <c r="EV12" s="498"/>
      <c r="EW12" s="498"/>
      <c r="EX12" s="498"/>
      <c r="EY12" s="498"/>
      <c r="EZ12" s="498"/>
      <c r="FA12" s="498"/>
      <c r="FB12" s="498"/>
      <c r="FC12" s="498"/>
      <c r="FD12" s="498"/>
      <c r="FE12" s="498"/>
      <c r="FF12" s="498"/>
      <c r="FG12" s="498"/>
      <c r="FH12" s="498"/>
      <c r="FI12" s="498"/>
      <c r="FJ12" s="498"/>
      <c r="FK12" s="498"/>
      <c r="FL12" s="498"/>
      <c r="FM12" s="498"/>
      <c r="FN12" s="498"/>
      <c r="FO12" s="498"/>
      <c r="FP12" s="498"/>
      <c r="FQ12" s="498"/>
      <c r="FR12" s="498"/>
      <c r="FS12" s="498"/>
      <c r="FT12" s="498"/>
      <c r="FU12" s="498"/>
      <c r="FV12" s="498"/>
      <c r="FW12" s="498"/>
      <c r="FX12" s="498"/>
      <c r="FY12" s="498"/>
      <c r="FZ12" s="498"/>
      <c r="GA12" s="498"/>
      <c r="GB12" s="498"/>
      <c r="GC12" s="498"/>
      <c r="GD12" s="498"/>
      <c r="GE12" s="498"/>
      <c r="GF12" s="498"/>
      <c r="GG12" s="498"/>
      <c r="GH12" s="498"/>
      <c r="GI12" s="498"/>
      <c r="GJ12" s="498"/>
      <c r="GK12" s="498"/>
      <c r="GL12" s="498"/>
      <c r="GM12" s="498"/>
      <c r="GN12" s="498"/>
      <c r="GO12" s="498"/>
      <c r="GP12" s="498"/>
      <c r="GQ12" s="498"/>
      <c r="GR12" s="498"/>
      <c r="GS12" s="498"/>
      <c r="GT12" s="498"/>
      <c r="GU12" s="498"/>
      <c r="GV12" s="498"/>
      <c r="GW12" s="498"/>
      <c r="GX12" s="498"/>
      <c r="GY12" s="498"/>
      <c r="GZ12" s="498"/>
      <c r="HA12" s="498"/>
      <c r="HB12" s="498"/>
      <c r="HC12" s="498"/>
      <c r="HD12" s="498"/>
      <c r="HE12" s="498"/>
      <c r="HF12" s="498"/>
      <c r="HG12" s="498"/>
      <c r="HH12" s="498"/>
      <c r="HI12" s="498"/>
      <c r="HJ12" s="498"/>
      <c r="HK12" s="498"/>
      <c r="HL12" s="498"/>
      <c r="HM12" s="498"/>
      <c r="HN12" s="498"/>
      <c r="HO12" s="498"/>
      <c r="HP12" s="498"/>
      <c r="HQ12" s="498"/>
      <c r="HR12" s="498"/>
      <c r="HS12" s="498"/>
      <c r="HT12" s="498"/>
      <c r="HU12" s="498"/>
      <c r="HV12" s="498"/>
      <c r="HW12" s="498"/>
      <c r="HX12" s="498"/>
      <c r="HY12" s="498"/>
      <c r="HZ12" s="498"/>
      <c r="IA12" s="498"/>
      <c r="IB12" s="498"/>
      <c r="IC12" s="498"/>
      <c r="ID12" s="498"/>
      <c r="IE12" s="498"/>
      <c r="IF12" s="498"/>
      <c r="IG12" s="498"/>
      <c r="IH12" s="498"/>
      <c r="II12" s="498"/>
      <c r="IJ12" s="498"/>
      <c r="IK12" s="498"/>
      <c r="IL12" s="498"/>
      <c r="IM12" s="4"/>
      <c r="IN12" s="4"/>
      <c r="IO12" s="4"/>
      <c r="IP12" s="4"/>
      <c r="IQ12" s="4"/>
      <c r="IR12" s="4"/>
      <c r="IS12" s="4"/>
      <c r="IT12" s="4"/>
    </row>
    <row r="13" spans="1:254" s="173" customFormat="1" ht="13.95" customHeight="1" x14ac:dyDescent="0.15">
      <c r="A13" s="175"/>
      <c r="B13" s="176" t="s">
        <v>223</v>
      </c>
      <c r="C13" s="505"/>
      <c r="D13" s="505"/>
      <c r="E13" s="505"/>
      <c r="F13" s="505"/>
      <c r="G13" s="505"/>
      <c r="H13" s="505"/>
      <c r="I13" s="172"/>
      <c r="J13" s="4"/>
      <c r="K13" s="4"/>
      <c r="L13" s="4"/>
      <c r="M13" s="506"/>
      <c r="N13" s="506"/>
      <c r="O13" s="506"/>
      <c r="P13" s="498"/>
      <c r="Q13" s="498"/>
      <c r="R13" s="498"/>
      <c r="S13" s="498"/>
      <c r="T13" s="498"/>
      <c r="U13" s="498"/>
      <c r="V13" s="498"/>
      <c r="W13" s="498"/>
      <c r="X13" s="498"/>
      <c r="Y13" s="498"/>
      <c r="Z13" s="498"/>
      <c r="AA13" s="498"/>
      <c r="AB13" s="498"/>
      <c r="AC13" s="498"/>
      <c r="AD13" s="498"/>
      <c r="AE13" s="498"/>
      <c r="AF13" s="498"/>
      <c r="AG13" s="498"/>
      <c r="AH13" s="498"/>
      <c r="AI13" s="498"/>
      <c r="AJ13" s="498"/>
      <c r="AK13" s="498"/>
      <c r="AL13" s="498"/>
      <c r="AM13" s="498"/>
      <c r="AN13" s="498"/>
      <c r="AO13" s="498"/>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c r="CQ13" s="498"/>
      <c r="CR13" s="498"/>
      <c r="CS13" s="498"/>
      <c r="CT13" s="498"/>
      <c r="CU13" s="498"/>
      <c r="CV13" s="498"/>
      <c r="CW13" s="498"/>
      <c r="CX13" s="498"/>
      <c r="CY13" s="498"/>
      <c r="CZ13" s="498"/>
      <c r="DA13" s="498"/>
      <c r="DB13" s="498"/>
      <c r="DC13" s="498"/>
      <c r="DD13" s="498"/>
      <c r="DE13" s="498"/>
      <c r="DF13" s="498"/>
      <c r="DG13" s="498"/>
      <c r="DH13" s="498"/>
      <c r="DI13" s="498"/>
      <c r="DJ13" s="498"/>
      <c r="DK13" s="498"/>
      <c r="DL13" s="498"/>
      <c r="DM13" s="498"/>
      <c r="DN13" s="498"/>
      <c r="DO13" s="498"/>
      <c r="DP13" s="498"/>
      <c r="DQ13" s="498"/>
      <c r="DR13" s="498"/>
      <c r="DS13" s="498"/>
      <c r="DT13" s="498"/>
      <c r="DU13" s="498"/>
      <c r="DV13" s="498"/>
      <c r="DW13" s="498"/>
      <c r="DX13" s="498"/>
      <c r="DY13" s="498"/>
      <c r="DZ13" s="498"/>
      <c r="EA13" s="498"/>
      <c r="EB13" s="498"/>
      <c r="EC13" s="498"/>
      <c r="ED13" s="498"/>
      <c r="EE13" s="498"/>
      <c r="EF13" s="498"/>
      <c r="EG13" s="498"/>
      <c r="EH13" s="498"/>
      <c r="EI13" s="498"/>
      <c r="EJ13" s="498"/>
      <c r="EK13" s="498"/>
      <c r="EL13" s="498"/>
      <c r="EM13" s="498"/>
      <c r="EN13" s="498"/>
      <c r="EO13" s="498"/>
      <c r="EP13" s="498"/>
      <c r="EQ13" s="498"/>
      <c r="ER13" s="498"/>
      <c r="ES13" s="498"/>
      <c r="ET13" s="498"/>
      <c r="EU13" s="498"/>
      <c r="EV13" s="498"/>
      <c r="EW13" s="498"/>
      <c r="EX13" s="498"/>
      <c r="EY13" s="498"/>
      <c r="EZ13" s="498"/>
      <c r="FA13" s="498"/>
      <c r="FB13" s="498"/>
      <c r="FC13" s="498"/>
      <c r="FD13" s="498"/>
      <c r="FE13" s="498"/>
      <c r="FF13" s="498"/>
      <c r="FG13" s="498"/>
      <c r="FH13" s="498"/>
      <c r="FI13" s="498"/>
      <c r="FJ13" s="498"/>
      <c r="FK13" s="498"/>
      <c r="FL13" s="498"/>
      <c r="FM13" s="498"/>
      <c r="FN13" s="498"/>
      <c r="FO13" s="498"/>
      <c r="FP13" s="498"/>
      <c r="FQ13" s="498"/>
      <c r="FR13" s="498"/>
      <c r="FS13" s="498"/>
      <c r="FT13" s="498"/>
      <c r="FU13" s="498"/>
      <c r="FV13" s="498"/>
      <c r="FW13" s="498"/>
      <c r="FX13" s="498"/>
      <c r="FY13" s="498"/>
      <c r="FZ13" s="498"/>
      <c r="GA13" s="498"/>
      <c r="GB13" s="498"/>
      <c r="GC13" s="498"/>
      <c r="GD13" s="498"/>
      <c r="GE13" s="498"/>
      <c r="GF13" s="498"/>
      <c r="GG13" s="498"/>
      <c r="GH13" s="498"/>
      <c r="GI13" s="498"/>
      <c r="GJ13" s="498"/>
      <c r="GK13" s="498"/>
      <c r="GL13" s="498"/>
      <c r="GM13" s="498"/>
      <c r="GN13" s="498"/>
      <c r="GO13" s="498"/>
      <c r="GP13" s="498"/>
      <c r="GQ13" s="498"/>
      <c r="GR13" s="498"/>
      <c r="GS13" s="498"/>
      <c r="GT13" s="498"/>
      <c r="GU13" s="498"/>
      <c r="GV13" s="498"/>
      <c r="GW13" s="498"/>
      <c r="GX13" s="498"/>
      <c r="GY13" s="498"/>
      <c r="GZ13" s="498"/>
      <c r="HA13" s="498"/>
      <c r="HB13" s="498"/>
      <c r="HC13" s="498"/>
      <c r="HD13" s="498"/>
      <c r="HE13" s="498"/>
      <c r="HF13" s="498"/>
      <c r="HG13" s="498"/>
      <c r="HH13" s="498"/>
      <c r="HI13" s="498"/>
      <c r="HJ13" s="498"/>
      <c r="HK13" s="498"/>
      <c r="HL13" s="498"/>
      <c r="HM13" s="498"/>
      <c r="HN13" s="498"/>
      <c r="HO13" s="498"/>
      <c r="HP13" s="498"/>
      <c r="HQ13" s="498"/>
      <c r="HR13" s="498"/>
      <c r="HS13" s="498"/>
      <c r="HT13" s="498"/>
      <c r="HU13" s="498"/>
      <c r="HV13" s="498"/>
      <c r="HW13" s="498"/>
      <c r="HX13" s="498"/>
      <c r="HY13" s="498"/>
      <c r="HZ13" s="498"/>
      <c r="IA13" s="498"/>
      <c r="IB13" s="498"/>
      <c r="IC13" s="498"/>
      <c r="ID13" s="498"/>
      <c r="IE13" s="498"/>
      <c r="IF13" s="498"/>
      <c r="IG13" s="498"/>
      <c r="IH13" s="498"/>
      <c r="II13" s="498"/>
      <c r="IJ13" s="498"/>
      <c r="IK13" s="498"/>
      <c r="IL13" s="498"/>
      <c r="IM13" s="4"/>
      <c r="IN13" s="4"/>
      <c r="IO13" s="4"/>
      <c r="IP13" s="4"/>
      <c r="IQ13" s="4"/>
      <c r="IR13" s="4"/>
      <c r="IS13" s="4"/>
      <c r="IT13" s="4"/>
    </row>
    <row r="14" spans="1:254" s="173" customFormat="1" ht="13.95" customHeight="1" x14ac:dyDescent="0.15">
      <c r="A14" s="24"/>
      <c r="B14" s="176" t="s">
        <v>224</v>
      </c>
      <c r="C14" s="505"/>
      <c r="D14" s="505"/>
      <c r="E14" s="505"/>
      <c r="F14" s="505"/>
      <c r="G14" s="505"/>
      <c r="H14" s="505"/>
      <c r="I14" s="172"/>
      <c r="J14" s="4"/>
      <c r="K14" s="172"/>
      <c r="L14" s="172"/>
      <c r="M14" s="506"/>
      <c r="N14" s="506"/>
      <c r="O14" s="506"/>
      <c r="P14" s="498"/>
      <c r="Q14" s="498"/>
      <c r="R14" s="498"/>
      <c r="S14" s="498"/>
      <c r="T14" s="498"/>
      <c r="U14" s="498"/>
      <c r="V14" s="498"/>
      <c r="W14" s="498"/>
      <c r="X14" s="498"/>
      <c r="Y14" s="498"/>
      <c r="Z14" s="498"/>
      <c r="AA14" s="498"/>
      <c r="AB14" s="498"/>
      <c r="AC14" s="498"/>
      <c r="AD14" s="498"/>
      <c r="AE14" s="498"/>
      <c r="AF14" s="498"/>
      <c r="AG14" s="498"/>
      <c r="AH14" s="498"/>
      <c r="AI14" s="498"/>
      <c r="AJ14" s="498"/>
      <c r="AK14" s="498"/>
      <c r="AL14" s="498"/>
      <c r="AM14" s="498"/>
      <c r="AN14" s="498"/>
      <c r="AO14" s="498"/>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c r="CQ14" s="498"/>
      <c r="CR14" s="498"/>
      <c r="CS14" s="498"/>
      <c r="CT14" s="498"/>
      <c r="CU14" s="498"/>
      <c r="CV14" s="498"/>
      <c r="CW14" s="498"/>
      <c r="CX14" s="498"/>
      <c r="CY14" s="498"/>
      <c r="CZ14" s="498"/>
      <c r="DA14" s="498"/>
      <c r="DB14" s="498"/>
      <c r="DC14" s="498"/>
      <c r="DD14" s="498"/>
      <c r="DE14" s="498"/>
      <c r="DF14" s="498"/>
      <c r="DG14" s="498"/>
      <c r="DH14" s="498"/>
      <c r="DI14" s="498"/>
      <c r="DJ14" s="498"/>
      <c r="DK14" s="498"/>
      <c r="DL14" s="498"/>
      <c r="DM14" s="498"/>
      <c r="DN14" s="498"/>
      <c r="DO14" s="498"/>
      <c r="DP14" s="498"/>
      <c r="DQ14" s="498"/>
      <c r="DR14" s="498"/>
      <c r="DS14" s="498"/>
      <c r="DT14" s="498"/>
      <c r="DU14" s="498"/>
      <c r="DV14" s="498"/>
      <c r="DW14" s="498"/>
      <c r="DX14" s="498"/>
      <c r="DY14" s="498"/>
      <c r="DZ14" s="498"/>
      <c r="EA14" s="498"/>
      <c r="EB14" s="498"/>
      <c r="EC14" s="498"/>
      <c r="ED14" s="498"/>
      <c r="EE14" s="498"/>
      <c r="EF14" s="498"/>
      <c r="EG14" s="498"/>
      <c r="EH14" s="498"/>
      <c r="EI14" s="498"/>
      <c r="EJ14" s="498"/>
      <c r="EK14" s="498"/>
      <c r="EL14" s="498"/>
      <c r="EM14" s="498"/>
      <c r="EN14" s="498"/>
      <c r="EO14" s="498"/>
      <c r="EP14" s="498"/>
      <c r="EQ14" s="498"/>
      <c r="ER14" s="498"/>
      <c r="ES14" s="498"/>
      <c r="ET14" s="498"/>
      <c r="EU14" s="498"/>
      <c r="EV14" s="498"/>
      <c r="EW14" s="498"/>
      <c r="EX14" s="498"/>
      <c r="EY14" s="498"/>
      <c r="EZ14" s="498"/>
      <c r="FA14" s="498"/>
      <c r="FB14" s="498"/>
      <c r="FC14" s="498"/>
      <c r="FD14" s="498"/>
      <c r="FE14" s="498"/>
      <c r="FF14" s="498"/>
      <c r="FG14" s="498"/>
      <c r="FH14" s="498"/>
      <c r="FI14" s="498"/>
      <c r="FJ14" s="498"/>
      <c r="FK14" s="498"/>
      <c r="FL14" s="498"/>
      <c r="FM14" s="498"/>
      <c r="FN14" s="498"/>
      <c r="FO14" s="498"/>
      <c r="FP14" s="498"/>
      <c r="FQ14" s="498"/>
      <c r="FR14" s="498"/>
      <c r="FS14" s="498"/>
      <c r="FT14" s="498"/>
      <c r="FU14" s="498"/>
      <c r="FV14" s="498"/>
      <c r="FW14" s="498"/>
      <c r="FX14" s="498"/>
      <c r="FY14" s="498"/>
      <c r="FZ14" s="498"/>
      <c r="GA14" s="498"/>
      <c r="GB14" s="498"/>
      <c r="GC14" s="498"/>
      <c r="GD14" s="498"/>
      <c r="GE14" s="498"/>
      <c r="GF14" s="498"/>
      <c r="GG14" s="498"/>
      <c r="GH14" s="498"/>
      <c r="GI14" s="498"/>
      <c r="GJ14" s="498"/>
      <c r="GK14" s="498"/>
      <c r="GL14" s="498"/>
      <c r="GM14" s="498"/>
      <c r="GN14" s="498"/>
      <c r="GO14" s="498"/>
      <c r="GP14" s="498"/>
      <c r="GQ14" s="498"/>
      <c r="GR14" s="498"/>
      <c r="GS14" s="498"/>
      <c r="GT14" s="498"/>
      <c r="GU14" s="498"/>
      <c r="GV14" s="498"/>
      <c r="GW14" s="498"/>
      <c r="GX14" s="498"/>
      <c r="GY14" s="498"/>
      <c r="GZ14" s="498"/>
      <c r="HA14" s="498"/>
      <c r="HB14" s="498"/>
      <c r="HC14" s="498"/>
      <c r="HD14" s="498"/>
      <c r="HE14" s="498"/>
      <c r="HF14" s="498"/>
      <c r="HG14" s="498"/>
      <c r="HH14" s="498"/>
      <c r="HI14" s="498"/>
      <c r="HJ14" s="498"/>
      <c r="HK14" s="498"/>
      <c r="HL14" s="498"/>
      <c r="HM14" s="498"/>
      <c r="HN14" s="498"/>
      <c r="HO14" s="498"/>
      <c r="HP14" s="498"/>
      <c r="HQ14" s="498"/>
      <c r="HR14" s="498"/>
      <c r="HS14" s="498"/>
      <c r="HT14" s="498"/>
      <c r="HU14" s="498"/>
      <c r="HV14" s="498"/>
      <c r="HW14" s="498"/>
      <c r="HX14" s="498"/>
      <c r="HY14" s="498"/>
      <c r="HZ14" s="498"/>
      <c r="IA14" s="498"/>
      <c r="IB14" s="498"/>
      <c r="IC14" s="498"/>
      <c r="ID14" s="498"/>
      <c r="IE14" s="498"/>
      <c r="IF14" s="498"/>
      <c r="IG14" s="498"/>
      <c r="IH14" s="498"/>
      <c r="II14" s="498"/>
      <c r="IJ14" s="498"/>
      <c r="IK14" s="498"/>
      <c r="IL14" s="498"/>
      <c r="IM14" s="4"/>
      <c r="IN14" s="4"/>
      <c r="IO14" s="4"/>
      <c r="IP14" s="4"/>
      <c r="IQ14" s="4"/>
      <c r="IR14" s="4"/>
      <c r="IS14" s="4"/>
      <c r="IT14" s="4"/>
    </row>
    <row r="15" spans="1:254" s="173" customFormat="1" ht="13.95" customHeight="1" x14ac:dyDescent="0.15">
      <c r="A15" s="22"/>
      <c r="B15" s="176" t="s">
        <v>225</v>
      </c>
      <c r="C15" s="505"/>
      <c r="D15" s="505"/>
      <c r="E15" s="505"/>
      <c r="F15" s="505"/>
      <c r="G15" s="505"/>
      <c r="H15" s="505"/>
      <c r="I15" s="172"/>
      <c r="J15" s="4"/>
      <c r="K15" s="172"/>
      <c r="L15" s="172"/>
      <c r="M15" s="506"/>
      <c r="N15" s="506"/>
      <c r="O15" s="506"/>
      <c r="P15" s="498"/>
      <c r="Q15" s="498"/>
      <c r="R15" s="498"/>
      <c r="S15" s="498"/>
      <c r="T15" s="498"/>
      <c r="U15" s="498"/>
      <c r="V15" s="498"/>
      <c r="W15" s="498"/>
      <c r="X15" s="498"/>
      <c r="Y15" s="498"/>
      <c r="Z15" s="498"/>
      <c r="AA15" s="498"/>
      <c r="AB15" s="498"/>
      <c r="AC15" s="498"/>
      <c r="AD15" s="498"/>
      <c r="AE15" s="498"/>
      <c r="AF15" s="498"/>
      <c r="AG15" s="498"/>
      <c r="AH15" s="498"/>
      <c r="AI15" s="498"/>
      <c r="AJ15" s="498"/>
      <c r="AK15" s="498"/>
      <c r="AL15" s="498"/>
      <c r="AM15" s="498"/>
      <c r="AN15" s="498"/>
      <c r="AO15" s="498"/>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c r="CQ15" s="498"/>
      <c r="CR15" s="498"/>
      <c r="CS15" s="498"/>
      <c r="CT15" s="498"/>
      <c r="CU15" s="498"/>
      <c r="CV15" s="498"/>
      <c r="CW15" s="498"/>
      <c r="CX15" s="498"/>
      <c r="CY15" s="498"/>
      <c r="CZ15" s="498"/>
      <c r="DA15" s="498"/>
      <c r="DB15" s="498"/>
      <c r="DC15" s="498"/>
      <c r="DD15" s="498"/>
      <c r="DE15" s="498"/>
      <c r="DF15" s="498"/>
      <c r="DG15" s="498"/>
      <c r="DH15" s="498"/>
      <c r="DI15" s="498"/>
      <c r="DJ15" s="498"/>
      <c r="DK15" s="498"/>
      <c r="DL15" s="498"/>
      <c r="DM15" s="498"/>
      <c r="DN15" s="498"/>
      <c r="DO15" s="498"/>
      <c r="DP15" s="498"/>
      <c r="DQ15" s="498"/>
      <c r="DR15" s="498"/>
      <c r="DS15" s="498"/>
      <c r="DT15" s="498"/>
      <c r="DU15" s="498"/>
      <c r="DV15" s="498"/>
      <c r="DW15" s="498"/>
      <c r="DX15" s="498"/>
      <c r="DY15" s="498"/>
      <c r="DZ15" s="498"/>
      <c r="EA15" s="498"/>
      <c r="EB15" s="498"/>
      <c r="EC15" s="498"/>
      <c r="ED15" s="498"/>
      <c r="EE15" s="498"/>
      <c r="EF15" s="498"/>
      <c r="EG15" s="498"/>
      <c r="EH15" s="498"/>
      <c r="EI15" s="498"/>
      <c r="EJ15" s="498"/>
      <c r="EK15" s="498"/>
      <c r="EL15" s="498"/>
      <c r="EM15" s="498"/>
      <c r="EN15" s="498"/>
      <c r="EO15" s="498"/>
      <c r="EP15" s="498"/>
      <c r="EQ15" s="498"/>
      <c r="ER15" s="498"/>
      <c r="ES15" s="498"/>
      <c r="ET15" s="498"/>
      <c r="EU15" s="498"/>
      <c r="EV15" s="498"/>
      <c r="EW15" s="498"/>
      <c r="EX15" s="498"/>
      <c r="EY15" s="498"/>
      <c r="EZ15" s="498"/>
      <c r="FA15" s="498"/>
      <c r="FB15" s="498"/>
      <c r="FC15" s="498"/>
      <c r="FD15" s="498"/>
      <c r="FE15" s="498"/>
      <c r="FF15" s="498"/>
      <c r="FG15" s="498"/>
      <c r="FH15" s="498"/>
      <c r="FI15" s="498"/>
      <c r="FJ15" s="498"/>
      <c r="FK15" s="498"/>
      <c r="FL15" s="498"/>
      <c r="FM15" s="498"/>
      <c r="FN15" s="498"/>
      <c r="FO15" s="498"/>
      <c r="FP15" s="498"/>
      <c r="FQ15" s="498"/>
      <c r="FR15" s="498"/>
      <c r="FS15" s="498"/>
      <c r="FT15" s="498"/>
      <c r="FU15" s="498"/>
      <c r="FV15" s="498"/>
      <c r="FW15" s="498"/>
      <c r="FX15" s="498"/>
      <c r="FY15" s="498"/>
      <c r="FZ15" s="498"/>
      <c r="GA15" s="498"/>
      <c r="GB15" s="498"/>
      <c r="GC15" s="498"/>
      <c r="GD15" s="498"/>
      <c r="GE15" s="498"/>
      <c r="GF15" s="498"/>
      <c r="GG15" s="498"/>
      <c r="GH15" s="498"/>
      <c r="GI15" s="498"/>
      <c r="GJ15" s="498"/>
      <c r="GK15" s="498"/>
      <c r="GL15" s="498"/>
      <c r="GM15" s="498"/>
      <c r="GN15" s="498"/>
      <c r="GO15" s="498"/>
      <c r="GP15" s="498"/>
      <c r="GQ15" s="498"/>
      <c r="GR15" s="498"/>
      <c r="GS15" s="498"/>
      <c r="GT15" s="498"/>
      <c r="GU15" s="498"/>
      <c r="GV15" s="498"/>
      <c r="GW15" s="498"/>
      <c r="GX15" s="498"/>
      <c r="GY15" s="498"/>
      <c r="GZ15" s="498"/>
      <c r="HA15" s="498"/>
      <c r="HB15" s="498"/>
      <c r="HC15" s="498"/>
      <c r="HD15" s="498"/>
      <c r="HE15" s="498"/>
      <c r="HF15" s="498"/>
      <c r="HG15" s="498"/>
      <c r="HH15" s="498"/>
      <c r="HI15" s="498"/>
      <c r="HJ15" s="498"/>
      <c r="HK15" s="498"/>
      <c r="HL15" s="498"/>
      <c r="HM15" s="498"/>
      <c r="HN15" s="498"/>
      <c r="HO15" s="498"/>
      <c r="HP15" s="498"/>
      <c r="HQ15" s="498"/>
      <c r="HR15" s="498"/>
      <c r="HS15" s="498"/>
      <c r="HT15" s="498"/>
      <c r="HU15" s="498"/>
      <c r="HV15" s="498"/>
      <c r="HW15" s="498"/>
      <c r="HX15" s="498"/>
      <c r="HY15" s="498"/>
      <c r="HZ15" s="498"/>
      <c r="IA15" s="498"/>
      <c r="IB15" s="498"/>
      <c r="IC15" s="498"/>
      <c r="ID15" s="498"/>
      <c r="IE15" s="498"/>
      <c r="IF15" s="498"/>
      <c r="IG15" s="498"/>
      <c r="IH15" s="498"/>
      <c r="II15" s="498"/>
      <c r="IJ15" s="498"/>
      <c r="IK15" s="498"/>
      <c r="IL15" s="498"/>
      <c r="IM15" s="4"/>
      <c r="IN15" s="4"/>
      <c r="IO15" s="4"/>
      <c r="IP15" s="4"/>
      <c r="IQ15" s="4"/>
      <c r="IR15" s="4"/>
      <c r="IS15" s="4"/>
      <c r="IT15" s="4"/>
    </row>
    <row r="16" spans="1:254" ht="12.75" customHeight="1" x14ac:dyDescent="0.15"/>
    <row r="17" spans="1:254" s="178" customFormat="1" ht="12.75" customHeight="1" x14ac:dyDescent="0.15">
      <c r="A17" s="500" t="s">
        <v>538</v>
      </c>
      <c r="B17" s="500"/>
      <c r="C17" s="500"/>
      <c r="D17" s="500"/>
      <c r="E17" s="501" t="s">
        <v>539</v>
      </c>
      <c r="F17" s="501"/>
      <c r="G17" s="502" t="s">
        <v>701</v>
      </c>
      <c r="H17" s="502"/>
      <c r="I17" s="503" t="s">
        <v>799</v>
      </c>
      <c r="J17" s="503"/>
      <c r="K17" s="503"/>
      <c r="L17" s="503"/>
      <c r="M17" s="469" t="s">
        <v>221</v>
      </c>
      <c r="N17" s="470" t="s">
        <v>222</v>
      </c>
      <c r="O17" s="462" t="s">
        <v>226</v>
      </c>
      <c r="P17" s="462"/>
      <c r="Q17" s="462"/>
      <c r="R17" s="462"/>
      <c r="S17" s="462"/>
      <c r="T17" s="462"/>
      <c r="U17" s="462"/>
      <c r="V17" s="462"/>
      <c r="W17" s="498"/>
      <c r="X17" s="498"/>
      <c r="Y17" s="462"/>
      <c r="Z17" s="462"/>
      <c r="AA17" s="462"/>
      <c r="AB17" s="462"/>
      <c r="AC17" s="462"/>
      <c r="AD17" s="498"/>
      <c r="AE17" s="462"/>
      <c r="AF17" s="462"/>
      <c r="AG17" s="462"/>
      <c r="AH17" s="462"/>
      <c r="AI17" s="462"/>
      <c r="AJ17" s="462"/>
      <c r="AK17" s="462"/>
      <c r="AL17" s="462"/>
      <c r="AM17" s="462"/>
      <c r="AN17" s="462"/>
      <c r="AO17" s="462"/>
      <c r="AP17" s="462"/>
      <c r="AQ17" s="462"/>
      <c r="AR17" s="462"/>
      <c r="AS17" s="462"/>
      <c r="AT17" s="462"/>
      <c r="AU17" s="462"/>
      <c r="AV17" s="462"/>
      <c r="AW17" s="462"/>
      <c r="AX17" s="462"/>
      <c r="AY17" s="462"/>
      <c r="AZ17" s="462"/>
      <c r="BA17" s="462"/>
      <c r="BB17" s="462"/>
      <c r="BC17" s="462"/>
      <c r="BD17" s="462"/>
      <c r="BE17" s="462"/>
      <c r="BF17" s="462"/>
      <c r="BG17" s="462"/>
      <c r="BH17" s="462"/>
      <c r="BI17" s="462"/>
      <c r="BJ17" s="462"/>
      <c r="BK17" s="462"/>
      <c r="BL17" s="462"/>
      <c r="BM17" s="462"/>
      <c r="BN17" s="462"/>
      <c r="BO17" s="462"/>
      <c r="BP17" s="462"/>
      <c r="BQ17" s="462"/>
      <c r="BR17" s="462"/>
      <c r="BS17" s="462"/>
      <c r="BT17" s="462"/>
      <c r="BU17" s="462"/>
      <c r="BV17" s="462"/>
      <c r="BW17" s="462"/>
      <c r="BX17" s="462"/>
      <c r="BY17" s="462"/>
      <c r="BZ17" s="462"/>
      <c r="CA17" s="462"/>
      <c r="CB17" s="462"/>
      <c r="CC17" s="462"/>
      <c r="CD17" s="462"/>
      <c r="CE17" s="462"/>
      <c r="CF17" s="462"/>
      <c r="CG17" s="462"/>
      <c r="CH17" s="462"/>
      <c r="CI17" s="462"/>
      <c r="CJ17" s="462"/>
      <c r="CK17" s="462"/>
      <c r="CL17" s="462"/>
      <c r="CM17" s="462"/>
      <c r="CN17" s="462"/>
      <c r="CO17" s="462"/>
      <c r="CP17" s="462"/>
      <c r="CQ17" s="462"/>
      <c r="CR17" s="462"/>
      <c r="CS17" s="462"/>
      <c r="CT17" s="462"/>
      <c r="CU17" s="462"/>
      <c r="CV17" s="462"/>
      <c r="CW17" s="462"/>
      <c r="CX17" s="462"/>
      <c r="CY17" s="462"/>
      <c r="CZ17" s="462"/>
      <c r="DA17" s="462"/>
      <c r="DB17" s="462"/>
      <c r="DC17" s="462"/>
      <c r="DD17" s="462"/>
      <c r="DE17" s="462"/>
      <c r="DF17" s="462"/>
      <c r="DG17" s="462"/>
      <c r="DH17" s="462"/>
      <c r="DI17" s="462"/>
      <c r="DJ17" s="462"/>
      <c r="DK17" s="462"/>
      <c r="DL17" s="462"/>
      <c r="DM17" s="462"/>
      <c r="DN17" s="462"/>
      <c r="DO17" s="462"/>
      <c r="DP17" s="462"/>
      <c r="DQ17" s="462"/>
      <c r="DR17" s="462"/>
      <c r="DS17" s="462"/>
      <c r="DT17" s="462"/>
      <c r="DU17" s="462"/>
      <c r="DV17" s="462"/>
      <c r="DW17" s="462"/>
      <c r="DX17" s="462"/>
      <c r="DY17" s="462"/>
      <c r="DZ17" s="462"/>
      <c r="EA17" s="462"/>
      <c r="EB17" s="462"/>
      <c r="EC17" s="462"/>
      <c r="ED17" s="462"/>
      <c r="EE17" s="462"/>
      <c r="EF17" s="462"/>
      <c r="EG17" s="462"/>
      <c r="EH17" s="462"/>
      <c r="EI17" s="462"/>
      <c r="EJ17" s="462"/>
      <c r="EK17" s="462"/>
      <c r="EL17" s="462"/>
      <c r="EM17" s="462"/>
      <c r="EN17" s="462"/>
      <c r="EO17" s="462"/>
      <c r="EP17" s="462"/>
      <c r="EQ17" s="462"/>
      <c r="ER17" s="462"/>
      <c r="ES17" s="462"/>
      <c r="ET17" s="462"/>
      <c r="EU17" s="462"/>
      <c r="EV17" s="462"/>
      <c r="EW17" s="462"/>
      <c r="EX17" s="462"/>
      <c r="EY17" s="462"/>
      <c r="EZ17" s="462"/>
      <c r="FA17" s="462"/>
      <c r="FB17" s="462"/>
      <c r="FC17" s="462"/>
      <c r="FD17" s="462"/>
      <c r="FE17" s="462"/>
      <c r="FF17" s="462"/>
      <c r="FG17" s="462"/>
      <c r="FH17" s="462"/>
      <c r="FI17" s="462"/>
      <c r="FJ17" s="462"/>
      <c r="FK17" s="462"/>
      <c r="FL17" s="462"/>
      <c r="FM17" s="462"/>
      <c r="FN17" s="462"/>
      <c r="FO17" s="462"/>
      <c r="FP17" s="462"/>
      <c r="FQ17" s="462"/>
      <c r="FR17" s="462"/>
      <c r="FS17" s="462"/>
      <c r="FT17" s="462"/>
      <c r="FU17" s="462"/>
      <c r="FV17" s="462"/>
      <c r="FW17" s="462"/>
      <c r="FX17" s="462"/>
      <c r="FY17" s="462"/>
      <c r="FZ17" s="462"/>
      <c r="GA17" s="462"/>
      <c r="GB17" s="462"/>
      <c r="GC17" s="462"/>
      <c r="GD17" s="462"/>
      <c r="GE17" s="462"/>
      <c r="GF17" s="462"/>
      <c r="GG17" s="462"/>
      <c r="GH17" s="462"/>
      <c r="GI17" s="462"/>
      <c r="GJ17" s="462"/>
      <c r="GK17" s="462"/>
      <c r="GL17" s="462"/>
      <c r="GM17" s="462"/>
      <c r="GN17" s="462"/>
      <c r="GO17" s="462"/>
      <c r="GP17" s="462"/>
      <c r="GQ17" s="462"/>
      <c r="GR17" s="462"/>
      <c r="GS17" s="462"/>
      <c r="GT17" s="462"/>
      <c r="GU17" s="462"/>
      <c r="GV17" s="462"/>
      <c r="GW17" s="462"/>
      <c r="GX17" s="462"/>
      <c r="GY17" s="462"/>
      <c r="GZ17" s="462"/>
      <c r="HA17" s="462"/>
      <c r="HB17" s="462"/>
      <c r="HC17" s="462"/>
      <c r="HD17" s="462"/>
      <c r="HE17" s="462"/>
      <c r="HF17" s="462"/>
      <c r="HG17" s="462"/>
      <c r="HH17" s="462"/>
      <c r="HI17" s="462"/>
      <c r="HJ17" s="462"/>
      <c r="HK17" s="462"/>
      <c r="HL17" s="462"/>
      <c r="HM17" s="462"/>
      <c r="HN17" s="462"/>
      <c r="HO17" s="462"/>
      <c r="HP17" s="462"/>
      <c r="HQ17" s="462"/>
      <c r="HR17" s="462"/>
      <c r="HS17" s="462"/>
      <c r="HT17" s="462"/>
      <c r="HU17" s="462"/>
      <c r="HV17" s="462"/>
      <c r="HW17" s="462"/>
      <c r="HX17" s="462"/>
      <c r="HY17" s="462"/>
      <c r="HZ17" s="462"/>
      <c r="IA17" s="462"/>
      <c r="IB17" s="462"/>
      <c r="IC17" s="462"/>
      <c r="ID17" s="462"/>
      <c r="IE17" s="462"/>
      <c r="IF17" s="462"/>
      <c r="IG17" s="462"/>
      <c r="IH17" s="462"/>
      <c r="II17" s="462"/>
      <c r="IJ17" s="462"/>
      <c r="IK17" s="462"/>
      <c r="IL17" s="463"/>
      <c r="IM17" s="15"/>
      <c r="IN17" s="15"/>
      <c r="IO17" s="15"/>
      <c r="IP17" s="15"/>
      <c r="IQ17" s="15"/>
      <c r="IR17" s="15"/>
      <c r="IS17" s="15"/>
      <c r="IT17" s="15"/>
    </row>
    <row r="18" spans="1:254" s="178" customFormat="1" ht="12.75" customHeight="1" x14ac:dyDescent="0.15">
      <c r="A18" s="492" t="str">
        <f>キャラシート!B3</f>
        <v>ヒイラギ・タクト</v>
      </c>
      <c r="B18" s="492"/>
      <c r="C18" s="492"/>
      <c r="D18" s="492"/>
      <c r="E18" s="493" t="str">
        <f>キャラシート!J3</f>
        <v>チヒロ</v>
      </c>
      <c r="F18" s="493"/>
      <c r="G18" s="481" t="str">
        <f>キャラシート!F13</f>
        <v>覚醒型</v>
      </c>
      <c r="H18" s="481"/>
      <c r="I18" s="494" t="s">
        <v>292</v>
      </c>
      <c r="J18" s="494"/>
      <c r="K18" s="494" t="s">
        <v>292</v>
      </c>
      <c r="L18" s="494"/>
      <c r="M18" s="469"/>
      <c r="N18" s="470"/>
      <c r="O18" s="462"/>
      <c r="P18" s="462"/>
      <c r="Q18" s="462"/>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c r="AS18" s="462"/>
      <c r="AT18" s="462"/>
      <c r="AU18" s="462"/>
      <c r="AV18" s="462"/>
      <c r="AW18" s="462"/>
      <c r="AX18" s="462"/>
      <c r="AY18" s="462"/>
      <c r="AZ18" s="462"/>
      <c r="BA18" s="462"/>
      <c r="BB18" s="462"/>
      <c r="BC18" s="462"/>
      <c r="BD18" s="462"/>
      <c r="BE18" s="462"/>
      <c r="BF18" s="462"/>
      <c r="BG18" s="462"/>
      <c r="BH18" s="462"/>
      <c r="BI18" s="462"/>
      <c r="BJ18" s="462"/>
      <c r="BK18" s="462"/>
      <c r="BL18" s="462"/>
      <c r="BM18" s="462"/>
      <c r="BN18" s="462"/>
      <c r="BO18" s="462"/>
      <c r="BP18" s="462"/>
      <c r="BQ18" s="462"/>
      <c r="BR18" s="462"/>
      <c r="BS18" s="462"/>
      <c r="BT18" s="462"/>
      <c r="BU18" s="462"/>
      <c r="BV18" s="462"/>
      <c r="BW18" s="462"/>
      <c r="BX18" s="462"/>
      <c r="BY18" s="462"/>
      <c r="BZ18" s="462"/>
      <c r="CA18" s="462"/>
      <c r="CB18" s="462"/>
      <c r="CC18" s="462"/>
      <c r="CD18" s="462"/>
      <c r="CE18" s="462"/>
      <c r="CF18" s="462"/>
      <c r="CG18" s="462"/>
      <c r="CH18" s="462"/>
      <c r="CI18" s="462"/>
      <c r="CJ18" s="462"/>
      <c r="CK18" s="462"/>
      <c r="CL18" s="462"/>
      <c r="CM18" s="462"/>
      <c r="CN18" s="462"/>
      <c r="CO18" s="462"/>
      <c r="CP18" s="462"/>
      <c r="CQ18" s="462"/>
      <c r="CR18" s="462"/>
      <c r="CS18" s="462"/>
      <c r="CT18" s="462"/>
      <c r="CU18" s="462"/>
      <c r="CV18" s="462"/>
      <c r="CW18" s="462"/>
      <c r="CX18" s="462"/>
      <c r="CY18" s="462"/>
      <c r="CZ18" s="462"/>
      <c r="DA18" s="462"/>
      <c r="DB18" s="462"/>
      <c r="DC18" s="462"/>
      <c r="DD18" s="462"/>
      <c r="DE18" s="462"/>
      <c r="DF18" s="462"/>
      <c r="DG18" s="462"/>
      <c r="DH18" s="462"/>
      <c r="DI18" s="462"/>
      <c r="DJ18" s="462"/>
      <c r="DK18" s="462"/>
      <c r="DL18" s="462"/>
      <c r="DM18" s="462"/>
      <c r="DN18" s="462"/>
      <c r="DO18" s="462"/>
      <c r="DP18" s="462"/>
      <c r="DQ18" s="462"/>
      <c r="DR18" s="462"/>
      <c r="DS18" s="462"/>
      <c r="DT18" s="462"/>
      <c r="DU18" s="462"/>
      <c r="DV18" s="462"/>
      <c r="DW18" s="462"/>
      <c r="DX18" s="462"/>
      <c r="DY18" s="462"/>
      <c r="DZ18" s="462"/>
      <c r="EA18" s="462"/>
      <c r="EB18" s="462"/>
      <c r="EC18" s="462"/>
      <c r="ED18" s="462"/>
      <c r="EE18" s="462"/>
      <c r="EF18" s="462"/>
      <c r="EG18" s="462"/>
      <c r="EH18" s="462"/>
      <c r="EI18" s="462"/>
      <c r="EJ18" s="462"/>
      <c r="EK18" s="462"/>
      <c r="EL18" s="462"/>
      <c r="EM18" s="462"/>
      <c r="EN18" s="462"/>
      <c r="EO18" s="462"/>
      <c r="EP18" s="462"/>
      <c r="EQ18" s="462"/>
      <c r="ER18" s="462"/>
      <c r="ES18" s="462"/>
      <c r="ET18" s="462"/>
      <c r="EU18" s="462"/>
      <c r="EV18" s="462"/>
      <c r="EW18" s="462"/>
      <c r="EX18" s="462"/>
      <c r="EY18" s="462"/>
      <c r="EZ18" s="462"/>
      <c r="FA18" s="462"/>
      <c r="FB18" s="462"/>
      <c r="FC18" s="462"/>
      <c r="FD18" s="462"/>
      <c r="FE18" s="462"/>
      <c r="FF18" s="462"/>
      <c r="FG18" s="462"/>
      <c r="FH18" s="462"/>
      <c r="FI18" s="462"/>
      <c r="FJ18" s="462"/>
      <c r="FK18" s="462"/>
      <c r="FL18" s="462"/>
      <c r="FM18" s="462"/>
      <c r="FN18" s="462"/>
      <c r="FO18" s="462"/>
      <c r="FP18" s="462"/>
      <c r="FQ18" s="462"/>
      <c r="FR18" s="462"/>
      <c r="FS18" s="462"/>
      <c r="FT18" s="462"/>
      <c r="FU18" s="462"/>
      <c r="FV18" s="462"/>
      <c r="FW18" s="462"/>
      <c r="FX18" s="462"/>
      <c r="FY18" s="462"/>
      <c r="FZ18" s="462"/>
      <c r="GA18" s="462"/>
      <c r="GB18" s="462"/>
      <c r="GC18" s="462"/>
      <c r="GD18" s="462"/>
      <c r="GE18" s="462"/>
      <c r="GF18" s="462"/>
      <c r="GG18" s="462"/>
      <c r="GH18" s="462"/>
      <c r="GI18" s="462"/>
      <c r="GJ18" s="462"/>
      <c r="GK18" s="462"/>
      <c r="GL18" s="462"/>
      <c r="GM18" s="462"/>
      <c r="GN18" s="462"/>
      <c r="GO18" s="462"/>
      <c r="GP18" s="462"/>
      <c r="GQ18" s="462"/>
      <c r="GR18" s="462"/>
      <c r="GS18" s="462"/>
      <c r="GT18" s="462"/>
      <c r="GU18" s="462"/>
      <c r="GV18" s="462"/>
      <c r="GW18" s="462"/>
      <c r="GX18" s="462"/>
      <c r="GY18" s="462"/>
      <c r="GZ18" s="462"/>
      <c r="HA18" s="462"/>
      <c r="HB18" s="462"/>
      <c r="HC18" s="462"/>
      <c r="HD18" s="462"/>
      <c r="HE18" s="462"/>
      <c r="HF18" s="462"/>
      <c r="HG18" s="462"/>
      <c r="HH18" s="462"/>
      <c r="HI18" s="462"/>
      <c r="HJ18" s="462"/>
      <c r="HK18" s="462"/>
      <c r="HL18" s="462"/>
      <c r="HM18" s="462"/>
      <c r="HN18" s="462"/>
      <c r="HO18" s="462"/>
      <c r="HP18" s="462"/>
      <c r="HQ18" s="462"/>
      <c r="HR18" s="462"/>
      <c r="HS18" s="462"/>
      <c r="HT18" s="462"/>
      <c r="HU18" s="462"/>
      <c r="HV18" s="462"/>
      <c r="HW18" s="462"/>
      <c r="HX18" s="462"/>
      <c r="HY18" s="462"/>
      <c r="HZ18" s="462"/>
      <c r="IA18" s="462"/>
      <c r="IB18" s="462"/>
      <c r="IC18" s="462"/>
      <c r="ID18" s="462"/>
      <c r="IE18" s="462"/>
      <c r="IF18" s="462"/>
      <c r="IG18" s="462"/>
      <c r="IH18" s="462"/>
      <c r="II18" s="462"/>
      <c r="IJ18" s="462"/>
      <c r="IK18" s="462"/>
      <c r="IL18" s="462"/>
      <c r="IM18" s="15"/>
      <c r="IN18" s="15"/>
      <c r="IO18" s="15"/>
      <c r="IP18" s="15"/>
      <c r="IQ18" s="15"/>
      <c r="IR18" s="15"/>
      <c r="IS18" s="15"/>
      <c r="IT18" s="15"/>
    </row>
    <row r="19" spans="1:254" s="178" customFormat="1" ht="12.75" customHeight="1" x14ac:dyDescent="0.15">
      <c r="A19" s="495" t="s">
        <v>227</v>
      </c>
      <c r="B19" s="495"/>
      <c r="C19" s="496" t="s">
        <v>81</v>
      </c>
      <c r="D19" s="496"/>
      <c r="E19" s="497" t="s">
        <v>87</v>
      </c>
      <c r="F19" s="497"/>
      <c r="G19" s="486" t="s">
        <v>704</v>
      </c>
      <c r="H19" s="486"/>
      <c r="I19" s="487" t="s">
        <v>228</v>
      </c>
      <c r="J19" s="487"/>
      <c r="K19" s="487" t="s">
        <v>229</v>
      </c>
      <c r="L19" s="487"/>
      <c r="M19" s="469"/>
      <c r="N19" s="470"/>
      <c r="O19" s="462"/>
      <c r="P19" s="462"/>
      <c r="Q19" s="462"/>
      <c r="R19" s="462"/>
      <c r="S19" s="462"/>
      <c r="T19" s="462"/>
      <c r="U19" s="462"/>
      <c r="V19" s="462"/>
      <c r="W19" s="462"/>
      <c r="X19" s="462"/>
      <c r="Y19" s="462"/>
      <c r="Z19" s="462"/>
      <c r="AA19" s="462"/>
      <c r="AB19" s="462"/>
      <c r="AC19" s="462"/>
      <c r="AD19" s="462"/>
      <c r="AE19" s="462"/>
      <c r="AF19" s="462"/>
      <c r="AG19" s="462"/>
      <c r="AH19" s="462"/>
      <c r="AI19" s="462"/>
      <c r="AJ19" s="462"/>
      <c r="AK19" s="462"/>
      <c r="AL19" s="462"/>
      <c r="AM19" s="462"/>
      <c r="AN19" s="462"/>
      <c r="AO19" s="462"/>
      <c r="AP19" s="462"/>
      <c r="AQ19" s="462"/>
      <c r="AR19" s="462"/>
      <c r="AS19" s="462"/>
      <c r="AT19" s="462"/>
      <c r="AU19" s="462"/>
      <c r="AV19" s="462"/>
      <c r="AW19" s="462"/>
      <c r="AX19" s="462"/>
      <c r="AY19" s="462"/>
      <c r="AZ19" s="462"/>
      <c r="BA19" s="462"/>
      <c r="BB19" s="462"/>
      <c r="BC19" s="462"/>
      <c r="BD19" s="462"/>
      <c r="BE19" s="462"/>
      <c r="BF19" s="462"/>
      <c r="BG19" s="462"/>
      <c r="BH19" s="462"/>
      <c r="BI19" s="462"/>
      <c r="BJ19" s="462"/>
      <c r="BK19" s="462"/>
      <c r="BL19" s="462"/>
      <c r="BM19" s="462"/>
      <c r="BN19" s="462"/>
      <c r="BO19" s="462"/>
      <c r="BP19" s="462"/>
      <c r="BQ19" s="462"/>
      <c r="BR19" s="462"/>
      <c r="BS19" s="462"/>
      <c r="BT19" s="462"/>
      <c r="BU19" s="462"/>
      <c r="BV19" s="462"/>
      <c r="BW19" s="462"/>
      <c r="BX19" s="462"/>
      <c r="BY19" s="462"/>
      <c r="BZ19" s="462"/>
      <c r="CA19" s="462"/>
      <c r="CB19" s="462"/>
      <c r="CC19" s="462"/>
      <c r="CD19" s="462"/>
      <c r="CE19" s="462"/>
      <c r="CF19" s="462"/>
      <c r="CG19" s="462"/>
      <c r="CH19" s="462"/>
      <c r="CI19" s="462"/>
      <c r="CJ19" s="462"/>
      <c r="CK19" s="462"/>
      <c r="CL19" s="462"/>
      <c r="CM19" s="462"/>
      <c r="CN19" s="462"/>
      <c r="CO19" s="462"/>
      <c r="CP19" s="462"/>
      <c r="CQ19" s="462"/>
      <c r="CR19" s="462"/>
      <c r="CS19" s="462"/>
      <c r="CT19" s="462"/>
      <c r="CU19" s="462"/>
      <c r="CV19" s="462"/>
      <c r="CW19" s="462"/>
      <c r="CX19" s="462"/>
      <c r="CY19" s="462"/>
      <c r="CZ19" s="462"/>
      <c r="DA19" s="462"/>
      <c r="DB19" s="462"/>
      <c r="DC19" s="462"/>
      <c r="DD19" s="462"/>
      <c r="DE19" s="462"/>
      <c r="DF19" s="462"/>
      <c r="DG19" s="462"/>
      <c r="DH19" s="462"/>
      <c r="DI19" s="462"/>
      <c r="DJ19" s="462"/>
      <c r="DK19" s="462"/>
      <c r="DL19" s="462"/>
      <c r="DM19" s="462"/>
      <c r="DN19" s="462"/>
      <c r="DO19" s="462"/>
      <c r="DP19" s="462"/>
      <c r="DQ19" s="462"/>
      <c r="DR19" s="462"/>
      <c r="DS19" s="462"/>
      <c r="DT19" s="462"/>
      <c r="DU19" s="462"/>
      <c r="DV19" s="462"/>
      <c r="DW19" s="462"/>
      <c r="DX19" s="462"/>
      <c r="DY19" s="462"/>
      <c r="DZ19" s="462"/>
      <c r="EA19" s="462"/>
      <c r="EB19" s="462"/>
      <c r="EC19" s="462"/>
      <c r="ED19" s="462"/>
      <c r="EE19" s="462"/>
      <c r="EF19" s="462"/>
      <c r="EG19" s="462"/>
      <c r="EH19" s="462"/>
      <c r="EI19" s="462"/>
      <c r="EJ19" s="462"/>
      <c r="EK19" s="462"/>
      <c r="EL19" s="462"/>
      <c r="EM19" s="462"/>
      <c r="EN19" s="462"/>
      <c r="EO19" s="462"/>
      <c r="EP19" s="462"/>
      <c r="EQ19" s="462"/>
      <c r="ER19" s="462"/>
      <c r="ES19" s="462"/>
      <c r="ET19" s="462"/>
      <c r="EU19" s="462"/>
      <c r="EV19" s="462"/>
      <c r="EW19" s="462"/>
      <c r="EX19" s="462"/>
      <c r="EY19" s="462"/>
      <c r="EZ19" s="462"/>
      <c r="FA19" s="462"/>
      <c r="FB19" s="462"/>
      <c r="FC19" s="462"/>
      <c r="FD19" s="462"/>
      <c r="FE19" s="462"/>
      <c r="FF19" s="462"/>
      <c r="FG19" s="462"/>
      <c r="FH19" s="462"/>
      <c r="FI19" s="462"/>
      <c r="FJ19" s="462"/>
      <c r="FK19" s="462"/>
      <c r="FL19" s="462"/>
      <c r="FM19" s="462"/>
      <c r="FN19" s="462"/>
      <c r="FO19" s="462"/>
      <c r="FP19" s="462"/>
      <c r="FQ19" s="462"/>
      <c r="FR19" s="462"/>
      <c r="FS19" s="462"/>
      <c r="FT19" s="462"/>
      <c r="FU19" s="462"/>
      <c r="FV19" s="462"/>
      <c r="FW19" s="462"/>
      <c r="FX19" s="462"/>
      <c r="FY19" s="462"/>
      <c r="FZ19" s="462"/>
      <c r="GA19" s="462"/>
      <c r="GB19" s="462"/>
      <c r="GC19" s="462"/>
      <c r="GD19" s="462"/>
      <c r="GE19" s="462"/>
      <c r="GF19" s="462"/>
      <c r="GG19" s="462"/>
      <c r="GH19" s="462"/>
      <c r="GI19" s="462"/>
      <c r="GJ19" s="462"/>
      <c r="GK19" s="462"/>
      <c r="GL19" s="462"/>
      <c r="GM19" s="462"/>
      <c r="GN19" s="462"/>
      <c r="GO19" s="462"/>
      <c r="GP19" s="462"/>
      <c r="GQ19" s="462"/>
      <c r="GR19" s="462"/>
      <c r="GS19" s="462"/>
      <c r="GT19" s="462"/>
      <c r="GU19" s="462"/>
      <c r="GV19" s="462"/>
      <c r="GW19" s="462"/>
      <c r="GX19" s="462"/>
      <c r="GY19" s="462"/>
      <c r="GZ19" s="462"/>
      <c r="HA19" s="462"/>
      <c r="HB19" s="462"/>
      <c r="HC19" s="462"/>
      <c r="HD19" s="462"/>
      <c r="HE19" s="462"/>
      <c r="HF19" s="462"/>
      <c r="HG19" s="462"/>
      <c r="HH19" s="462"/>
      <c r="HI19" s="462"/>
      <c r="HJ19" s="462"/>
      <c r="HK19" s="462"/>
      <c r="HL19" s="462"/>
      <c r="HM19" s="462"/>
      <c r="HN19" s="462"/>
      <c r="HO19" s="462"/>
      <c r="HP19" s="462"/>
      <c r="HQ19" s="462"/>
      <c r="HR19" s="462"/>
      <c r="HS19" s="462"/>
      <c r="HT19" s="462"/>
      <c r="HU19" s="462"/>
      <c r="HV19" s="462"/>
      <c r="HW19" s="462"/>
      <c r="HX19" s="462"/>
      <c r="HY19" s="462"/>
      <c r="HZ19" s="462"/>
      <c r="IA19" s="462"/>
      <c r="IB19" s="462"/>
      <c r="IC19" s="462"/>
      <c r="ID19" s="462"/>
      <c r="IE19" s="462"/>
      <c r="IF19" s="462"/>
      <c r="IG19" s="462"/>
      <c r="IH19" s="462"/>
      <c r="II19" s="462"/>
      <c r="IJ19" s="462"/>
      <c r="IK19" s="462"/>
      <c r="IL19" s="462"/>
      <c r="IM19" s="15"/>
      <c r="IN19" s="15"/>
      <c r="IO19" s="15"/>
      <c r="IP19" s="15"/>
      <c r="IQ19" s="15"/>
      <c r="IR19" s="15"/>
      <c r="IS19" s="15"/>
      <c r="IT19" s="15"/>
    </row>
    <row r="20" spans="1:254" s="178" customFormat="1" ht="12.75" customHeight="1" x14ac:dyDescent="0.15">
      <c r="A20" s="181">
        <f>B20+SUM(O24:IL24)</f>
        <v>14</v>
      </c>
      <c r="B20" s="182">
        <f>J24+L24</f>
        <v>14</v>
      </c>
      <c r="C20" s="183">
        <f>D20-SUM(O25:IL25)+SUM(O26:IL26)</f>
        <v>27</v>
      </c>
      <c r="D20" s="184">
        <f>J26+L26</f>
        <v>27</v>
      </c>
      <c r="E20" s="185">
        <f>J27+L27</f>
        <v>23</v>
      </c>
      <c r="F20" s="186">
        <f>E20+SUM(O27:IL27)</f>
        <v>33</v>
      </c>
      <c r="G20" s="481" t="str">
        <f>キャラシート!C13</f>
        <v>瞬動</v>
      </c>
      <c r="H20" s="481"/>
      <c r="I20" s="482" t="s">
        <v>623</v>
      </c>
      <c r="J20" s="482"/>
      <c r="K20" s="482" t="s">
        <v>609</v>
      </c>
      <c r="L20" s="482"/>
      <c r="M20" s="469"/>
      <c r="N20" s="469"/>
      <c r="O20" s="462"/>
      <c r="P20" s="462"/>
      <c r="Q20" s="462"/>
      <c r="R20" s="462"/>
      <c r="S20" s="462"/>
      <c r="T20" s="462"/>
      <c r="U20" s="462"/>
      <c r="V20" s="462"/>
      <c r="W20" s="462"/>
      <c r="X20" s="462"/>
      <c r="Y20" s="462"/>
      <c r="Z20" s="462"/>
      <c r="AA20" s="462"/>
      <c r="AB20" s="462"/>
      <c r="AC20" s="462"/>
      <c r="AD20" s="462"/>
      <c r="AE20" s="462"/>
      <c r="AF20" s="462"/>
      <c r="AG20" s="462"/>
      <c r="AH20" s="462"/>
      <c r="AI20" s="462"/>
      <c r="AJ20" s="462"/>
      <c r="AK20" s="462"/>
      <c r="AL20" s="462"/>
      <c r="AM20" s="462"/>
      <c r="AN20" s="462"/>
      <c r="AO20" s="462"/>
      <c r="AP20" s="462"/>
      <c r="AQ20" s="462"/>
      <c r="AR20" s="462"/>
      <c r="AS20" s="462"/>
      <c r="AT20" s="462"/>
      <c r="AU20" s="462"/>
      <c r="AV20" s="462"/>
      <c r="AW20" s="462"/>
      <c r="AX20" s="462"/>
      <c r="AY20" s="462"/>
      <c r="AZ20" s="462"/>
      <c r="BA20" s="462"/>
      <c r="BB20" s="462"/>
      <c r="BC20" s="462"/>
      <c r="BD20" s="462"/>
      <c r="BE20" s="462"/>
      <c r="BF20" s="462"/>
      <c r="BG20" s="462"/>
      <c r="BH20" s="462"/>
      <c r="BI20" s="462"/>
      <c r="BJ20" s="462"/>
      <c r="BK20" s="462"/>
      <c r="BL20" s="462"/>
      <c r="BM20" s="462"/>
      <c r="BN20" s="462"/>
      <c r="BO20" s="462"/>
      <c r="BP20" s="462"/>
      <c r="BQ20" s="462"/>
      <c r="BR20" s="462"/>
      <c r="BS20" s="462"/>
      <c r="BT20" s="462"/>
      <c r="BU20" s="462"/>
      <c r="BV20" s="462"/>
      <c r="BW20" s="462"/>
      <c r="BX20" s="462"/>
      <c r="BY20" s="462"/>
      <c r="BZ20" s="462"/>
      <c r="CA20" s="462"/>
      <c r="CB20" s="462"/>
      <c r="CC20" s="462"/>
      <c r="CD20" s="462"/>
      <c r="CE20" s="462"/>
      <c r="CF20" s="462"/>
      <c r="CG20" s="462"/>
      <c r="CH20" s="462"/>
      <c r="CI20" s="462"/>
      <c r="CJ20" s="462"/>
      <c r="CK20" s="462"/>
      <c r="CL20" s="462"/>
      <c r="CM20" s="462"/>
      <c r="CN20" s="462"/>
      <c r="CO20" s="462"/>
      <c r="CP20" s="462"/>
      <c r="CQ20" s="462"/>
      <c r="CR20" s="462"/>
      <c r="CS20" s="462"/>
      <c r="CT20" s="462"/>
      <c r="CU20" s="462"/>
      <c r="CV20" s="462"/>
      <c r="CW20" s="462"/>
      <c r="CX20" s="462"/>
      <c r="CY20" s="462"/>
      <c r="CZ20" s="462"/>
      <c r="DA20" s="462"/>
      <c r="DB20" s="462"/>
      <c r="DC20" s="462"/>
      <c r="DD20" s="462"/>
      <c r="DE20" s="462"/>
      <c r="DF20" s="462"/>
      <c r="DG20" s="462"/>
      <c r="DH20" s="462"/>
      <c r="DI20" s="462"/>
      <c r="DJ20" s="462"/>
      <c r="DK20" s="462"/>
      <c r="DL20" s="462"/>
      <c r="DM20" s="462"/>
      <c r="DN20" s="462"/>
      <c r="DO20" s="462"/>
      <c r="DP20" s="462"/>
      <c r="DQ20" s="462"/>
      <c r="DR20" s="462"/>
      <c r="DS20" s="462"/>
      <c r="DT20" s="462"/>
      <c r="DU20" s="462"/>
      <c r="DV20" s="462"/>
      <c r="DW20" s="462"/>
      <c r="DX20" s="462"/>
      <c r="DY20" s="462"/>
      <c r="DZ20" s="462"/>
      <c r="EA20" s="462"/>
      <c r="EB20" s="462"/>
      <c r="EC20" s="462"/>
      <c r="ED20" s="462"/>
      <c r="EE20" s="462"/>
      <c r="EF20" s="462"/>
      <c r="EG20" s="462"/>
      <c r="EH20" s="462"/>
      <c r="EI20" s="462"/>
      <c r="EJ20" s="462"/>
      <c r="EK20" s="462"/>
      <c r="EL20" s="462"/>
      <c r="EM20" s="462"/>
      <c r="EN20" s="462"/>
      <c r="EO20" s="462"/>
      <c r="EP20" s="462"/>
      <c r="EQ20" s="462"/>
      <c r="ER20" s="462"/>
      <c r="ES20" s="462"/>
      <c r="ET20" s="462"/>
      <c r="EU20" s="462"/>
      <c r="EV20" s="462"/>
      <c r="EW20" s="462"/>
      <c r="EX20" s="462"/>
      <c r="EY20" s="462"/>
      <c r="EZ20" s="462"/>
      <c r="FA20" s="462"/>
      <c r="FB20" s="462"/>
      <c r="FC20" s="462"/>
      <c r="FD20" s="462"/>
      <c r="FE20" s="462"/>
      <c r="FF20" s="462"/>
      <c r="FG20" s="462"/>
      <c r="FH20" s="462"/>
      <c r="FI20" s="462"/>
      <c r="FJ20" s="462"/>
      <c r="FK20" s="462"/>
      <c r="FL20" s="462"/>
      <c r="FM20" s="462"/>
      <c r="FN20" s="462"/>
      <c r="FO20" s="462"/>
      <c r="FP20" s="462"/>
      <c r="FQ20" s="462"/>
      <c r="FR20" s="462"/>
      <c r="FS20" s="462"/>
      <c r="FT20" s="462"/>
      <c r="FU20" s="462"/>
      <c r="FV20" s="462"/>
      <c r="FW20" s="462"/>
      <c r="FX20" s="462"/>
      <c r="FY20" s="462"/>
      <c r="FZ20" s="462"/>
      <c r="GA20" s="462"/>
      <c r="GB20" s="462"/>
      <c r="GC20" s="462"/>
      <c r="GD20" s="462"/>
      <c r="GE20" s="462"/>
      <c r="GF20" s="462"/>
      <c r="GG20" s="462"/>
      <c r="GH20" s="462"/>
      <c r="GI20" s="462"/>
      <c r="GJ20" s="462"/>
      <c r="GK20" s="462"/>
      <c r="GL20" s="462"/>
      <c r="GM20" s="462"/>
      <c r="GN20" s="462"/>
      <c r="GO20" s="462"/>
      <c r="GP20" s="462"/>
      <c r="GQ20" s="462"/>
      <c r="GR20" s="462"/>
      <c r="GS20" s="462"/>
      <c r="GT20" s="462"/>
      <c r="GU20" s="462"/>
      <c r="GV20" s="462"/>
      <c r="GW20" s="462"/>
      <c r="GX20" s="462"/>
      <c r="GY20" s="462"/>
      <c r="GZ20" s="462"/>
      <c r="HA20" s="462"/>
      <c r="HB20" s="462"/>
      <c r="HC20" s="462"/>
      <c r="HD20" s="462"/>
      <c r="HE20" s="462"/>
      <c r="HF20" s="462"/>
      <c r="HG20" s="462"/>
      <c r="HH20" s="462"/>
      <c r="HI20" s="462"/>
      <c r="HJ20" s="462"/>
      <c r="HK20" s="462"/>
      <c r="HL20" s="462"/>
      <c r="HM20" s="462"/>
      <c r="HN20" s="462"/>
      <c r="HO20" s="462"/>
      <c r="HP20" s="462"/>
      <c r="HQ20" s="462"/>
      <c r="HR20" s="462"/>
      <c r="HS20" s="462"/>
      <c r="HT20" s="462"/>
      <c r="HU20" s="462"/>
      <c r="HV20" s="462"/>
      <c r="HW20" s="462"/>
      <c r="HX20" s="462"/>
      <c r="HY20" s="462"/>
      <c r="HZ20" s="462"/>
      <c r="IA20" s="462"/>
      <c r="IB20" s="462"/>
      <c r="IC20" s="462"/>
      <c r="ID20" s="462"/>
      <c r="IE20" s="462"/>
      <c r="IF20" s="462"/>
      <c r="IG20" s="462"/>
      <c r="IH20" s="462"/>
      <c r="II20" s="462"/>
      <c r="IJ20" s="462"/>
      <c r="IK20" s="462"/>
      <c r="IL20" s="462"/>
      <c r="IM20" s="15"/>
      <c r="IN20" s="15"/>
      <c r="IO20" s="15"/>
      <c r="IP20" s="15"/>
      <c r="IQ20" s="15"/>
      <c r="IR20" s="15"/>
      <c r="IS20" s="15"/>
      <c r="IT20" s="15"/>
    </row>
    <row r="21" spans="1:254" s="178" customFormat="1" ht="12" customHeight="1" x14ac:dyDescent="0.15">
      <c r="A21" s="483" t="s">
        <v>102</v>
      </c>
      <c r="B21" s="484">
        <f>キャラシート!D27</f>
        <v>3</v>
      </c>
      <c r="C21" s="187" t="s">
        <v>230</v>
      </c>
      <c r="D21" s="188" t="s">
        <v>231</v>
      </c>
      <c r="E21" s="485" t="str">
        <f>IF(F20&lt;100,IF(F20&lt;50,"通常状態",IF(F20&lt;60,"暴走Lv1 ",IF(F20&lt;70,"暴走Lv2",IF(F20&lt;80,"暴走Lv3",IF(F20&lt;90,"暴走Lv4","暴走Lv5"))))),IF(F20&lt;110,"臨界Lv1",IF(F20&lt;120,"臨界Lv2",IF(F20&lt;130,"臨界Lv3",IF(F20&lt;140,"臨界Lv4",IF(F20&lt;150,"臨界Lv5",IF(F20&lt;150,"活性Lv5","因子崩壊")))))))</f>
        <v>通常状態</v>
      </c>
      <c r="F21" s="485"/>
      <c r="G21" s="486" t="s">
        <v>715</v>
      </c>
      <c r="H21" s="486"/>
      <c r="I21" s="487" t="s">
        <v>271</v>
      </c>
      <c r="J21" s="487"/>
      <c r="K21" s="487" t="s">
        <v>232</v>
      </c>
      <c r="L21" s="487"/>
      <c r="M21" s="469"/>
      <c r="N21" s="469"/>
      <c r="O21" s="462"/>
      <c r="P21" s="462"/>
      <c r="Q21" s="462"/>
      <c r="R21" s="462"/>
      <c r="S21" s="462"/>
      <c r="T21" s="462"/>
      <c r="U21" s="462"/>
      <c r="V21" s="462"/>
      <c r="W21" s="462"/>
      <c r="X21" s="462"/>
      <c r="Y21" s="462"/>
      <c r="Z21" s="462"/>
      <c r="AA21" s="462"/>
      <c r="AB21" s="462"/>
      <c r="AC21" s="462"/>
      <c r="AD21" s="462"/>
      <c r="AE21" s="462"/>
      <c r="AF21" s="462"/>
      <c r="AG21" s="462"/>
      <c r="AH21" s="462"/>
      <c r="AI21" s="462"/>
      <c r="AJ21" s="462"/>
      <c r="AK21" s="462"/>
      <c r="AL21" s="462"/>
      <c r="AM21" s="462"/>
      <c r="AN21" s="462"/>
      <c r="AO21" s="462"/>
      <c r="AP21" s="462"/>
      <c r="AQ21" s="462"/>
      <c r="AR21" s="462"/>
      <c r="AS21" s="462"/>
      <c r="AT21" s="462"/>
      <c r="AU21" s="462"/>
      <c r="AV21" s="462"/>
      <c r="AW21" s="462"/>
      <c r="AX21" s="462"/>
      <c r="AY21" s="462"/>
      <c r="AZ21" s="462"/>
      <c r="BA21" s="462"/>
      <c r="BB21" s="462"/>
      <c r="BC21" s="462"/>
      <c r="BD21" s="462"/>
      <c r="BE21" s="462"/>
      <c r="BF21" s="462"/>
      <c r="BG21" s="462"/>
      <c r="BH21" s="462"/>
      <c r="BI21" s="462"/>
      <c r="BJ21" s="462"/>
      <c r="BK21" s="462"/>
      <c r="BL21" s="462"/>
      <c r="BM21" s="462"/>
      <c r="BN21" s="462"/>
      <c r="BO21" s="462"/>
      <c r="BP21" s="462"/>
      <c r="BQ21" s="462"/>
      <c r="BR21" s="462"/>
      <c r="BS21" s="462"/>
      <c r="BT21" s="462"/>
      <c r="BU21" s="462"/>
      <c r="BV21" s="462"/>
      <c r="BW21" s="462"/>
      <c r="BX21" s="462"/>
      <c r="BY21" s="462"/>
      <c r="BZ21" s="462"/>
      <c r="CA21" s="462"/>
      <c r="CB21" s="462"/>
      <c r="CC21" s="462"/>
      <c r="CD21" s="462"/>
      <c r="CE21" s="462"/>
      <c r="CF21" s="462"/>
      <c r="CG21" s="462"/>
      <c r="CH21" s="462"/>
      <c r="CI21" s="462"/>
      <c r="CJ21" s="462"/>
      <c r="CK21" s="462"/>
      <c r="CL21" s="462"/>
      <c r="CM21" s="462"/>
      <c r="CN21" s="462"/>
      <c r="CO21" s="462"/>
      <c r="CP21" s="462"/>
      <c r="CQ21" s="462"/>
      <c r="CR21" s="462"/>
      <c r="CS21" s="462"/>
      <c r="CT21" s="462"/>
      <c r="CU21" s="462"/>
      <c r="CV21" s="462"/>
      <c r="CW21" s="462"/>
      <c r="CX21" s="462"/>
      <c r="CY21" s="462"/>
      <c r="CZ21" s="462"/>
      <c r="DA21" s="462"/>
      <c r="DB21" s="462"/>
      <c r="DC21" s="462"/>
      <c r="DD21" s="462"/>
      <c r="DE21" s="462"/>
      <c r="DF21" s="462"/>
      <c r="DG21" s="462"/>
      <c r="DH21" s="462"/>
      <c r="DI21" s="462"/>
      <c r="DJ21" s="462"/>
      <c r="DK21" s="462"/>
      <c r="DL21" s="462"/>
      <c r="DM21" s="462"/>
      <c r="DN21" s="462"/>
      <c r="DO21" s="462"/>
      <c r="DP21" s="462"/>
      <c r="DQ21" s="462"/>
      <c r="DR21" s="462"/>
      <c r="DS21" s="462"/>
      <c r="DT21" s="462"/>
      <c r="DU21" s="462"/>
      <c r="DV21" s="462"/>
      <c r="DW21" s="462"/>
      <c r="DX21" s="462"/>
      <c r="DY21" s="462"/>
      <c r="DZ21" s="462"/>
      <c r="EA21" s="462"/>
      <c r="EB21" s="462"/>
      <c r="EC21" s="462"/>
      <c r="ED21" s="462"/>
      <c r="EE21" s="462"/>
      <c r="EF21" s="462"/>
      <c r="EG21" s="462"/>
      <c r="EH21" s="462"/>
      <c r="EI21" s="462"/>
      <c r="EJ21" s="462"/>
      <c r="EK21" s="462"/>
      <c r="EL21" s="462"/>
      <c r="EM21" s="462"/>
      <c r="EN21" s="462"/>
      <c r="EO21" s="462"/>
      <c r="EP21" s="462"/>
      <c r="EQ21" s="462"/>
      <c r="ER21" s="462"/>
      <c r="ES21" s="462"/>
      <c r="ET21" s="462"/>
      <c r="EU21" s="462"/>
      <c r="EV21" s="462"/>
      <c r="EW21" s="462"/>
      <c r="EX21" s="462"/>
      <c r="EY21" s="462"/>
      <c r="EZ21" s="462"/>
      <c r="FA21" s="462"/>
      <c r="FB21" s="462"/>
      <c r="FC21" s="462"/>
      <c r="FD21" s="462"/>
      <c r="FE21" s="462"/>
      <c r="FF21" s="462"/>
      <c r="FG21" s="462"/>
      <c r="FH21" s="462"/>
      <c r="FI21" s="462"/>
      <c r="FJ21" s="462"/>
      <c r="FK21" s="462"/>
      <c r="FL21" s="462"/>
      <c r="FM21" s="462"/>
      <c r="FN21" s="462"/>
      <c r="FO21" s="462"/>
      <c r="FP21" s="462"/>
      <c r="FQ21" s="462"/>
      <c r="FR21" s="462"/>
      <c r="FS21" s="462"/>
      <c r="FT21" s="462"/>
      <c r="FU21" s="462"/>
      <c r="FV21" s="462"/>
      <c r="FW21" s="462"/>
      <c r="FX21" s="462"/>
      <c r="FY21" s="462"/>
      <c r="FZ21" s="462"/>
      <c r="GA21" s="462"/>
      <c r="GB21" s="462"/>
      <c r="GC21" s="462"/>
      <c r="GD21" s="462"/>
      <c r="GE21" s="462"/>
      <c r="GF21" s="462"/>
      <c r="GG21" s="462"/>
      <c r="GH21" s="462"/>
      <c r="GI21" s="462"/>
      <c r="GJ21" s="462"/>
      <c r="GK21" s="462"/>
      <c r="GL21" s="462"/>
      <c r="GM21" s="462"/>
      <c r="GN21" s="462"/>
      <c r="GO21" s="462"/>
      <c r="GP21" s="462"/>
      <c r="GQ21" s="462"/>
      <c r="GR21" s="462"/>
      <c r="GS21" s="462"/>
      <c r="GT21" s="462"/>
      <c r="GU21" s="462"/>
      <c r="GV21" s="462"/>
      <c r="GW21" s="462"/>
      <c r="GX21" s="462"/>
      <c r="GY21" s="462"/>
      <c r="GZ21" s="462"/>
      <c r="HA21" s="462"/>
      <c r="HB21" s="462"/>
      <c r="HC21" s="462"/>
      <c r="HD21" s="462"/>
      <c r="HE21" s="462"/>
      <c r="HF21" s="462"/>
      <c r="HG21" s="462"/>
      <c r="HH21" s="462"/>
      <c r="HI21" s="462"/>
      <c r="HJ21" s="462"/>
      <c r="HK21" s="462"/>
      <c r="HL21" s="462"/>
      <c r="HM21" s="462"/>
      <c r="HN21" s="462"/>
      <c r="HO21" s="462"/>
      <c r="HP21" s="462"/>
      <c r="HQ21" s="462"/>
      <c r="HR21" s="462"/>
      <c r="HS21" s="462"/>
      <c r="HT21" s="462"/>
      <c r="HU21" s="462"/>
      <c r="HV21" s="462"/>
      <c r="HW21" s="462"/>
      <c r="HX21" s="462"/>
      <c r="HY21" s="462"/>
      <c r="HZ21" s="462"/>
      <c r="IA21" s="462"/>
      <c r="IB21" s="462"/>
      <c r="IC21" s="462"/>
      <c r="ID21" s="462"/>
      <c r="IE21" s="462"/>
      <c r="IF21" s="462"/>
      <c r="IG21" s="462"/>
      <c r="IH21" s="462"/>
      <c r="II21" s="462"/>
      <c r="IJ21" s="462"/>
      <c r="IK21" s="462"/>
      <c r="IL21" s="462"/>
      <c r="IM21" s="15"/>
      <c r="IN21" s="15"/>
      <c r="IO21" s="15"/>
      <c r="IP21" s="15"/>
      <c r="IQ21" s="15"/>
      <c r="IR21" s="15"/>
      <c r="IS21" s="15"/>
      <c r="IT21" s="15"/>
    </row>
    <row r="22" spans="1:254" s="178" customFormat="1" ht="12.75" customHeight="1" x14ac:dyDescent="0.15">
      <c r="A22" s="483"/>
      <c r="B22" s="484"/>
      <c r="C22" s="189">
        <f>SUM(L25:IQ25)</f>
        <v>0</v>
      </c>
      <c r="D22" s="190">
        <f>ROUNDDOWN((C22/5),0)+SUM(I23:IL23)</f>
        <v>5</v>
      </c>
      <c r="E22" s="488" t="str">
        <f>IF(F20&lt;50,"未活性",IF(F20&lt;60,"活性Lv1",IF(F20&lt;70,"活性Lv2",IF(F20&lt;80,"活性Lv3",IF(F20&lt;90,"活性Lv4",IF(F20&lt;100,"活性Lv5",IF(F20&lt;150,"活性Lv5","強制キャラロスト")))))))</f>
        <v>未活性</v>
      </c>
      <c r="F22" s="488"/>
      <c r="G22" s="489" t="str">
        <f>キャラシート!J6</f>
        <v>不死身【アンデッド】</v>
      </c>
      <c r="H22" s="489"/>
      <c r="I22" s="490">
        <f>キャラシート!L6</f>
        <v>0</v>
      </c>
      <c r="J22" s="490"/>
      <c r="K22" s="491" t="str">
        <f>IF(OR(A20&lt;=B20/2,F20&gt;=90),IF(F20&gt;=120,"オーバーフロー","発動中"),"-")</f>
        <v>-</v>
      </c>
      <c r="L22" s="491"/>
      <c r="M22" s="469"/>
      <c r="N22" s="469"/>
      <c r="O22" s="462"/>
      <c r="P22" s="462"/>
      <c r="Q22" s="462"/>
      <c r="R22" s="462"/>
      <c r="S22" s="462"/>
      <c r="T22" s="462"/>
      <c r="U22" s="462"/>
      <c r="V22" s="462"/>
      <c r="W22" s="462"/>
      <c r="X22" s="462"/>
      <c r="Y22" s="462"/>
      <c r="Z22" s="462"/>
      <c r="AA22" s="462"/>
      <c r="AB22" s="462"/>
      <c r="AC22" s="462"/>
      <c r="AD22" s="462"/>
      <c r="AE22" s="462"/>
      <c r="AF22" s="462"/>
      <c r="AG22" s="462"/>
      <c r="AH22" s="462"/>
      <c r="AI22" s="462"/>
      <c r="AJ22" s="462"/>
      <c r="AK22" s="462"/>
      <c r="AL22" s="462"/>
      <c r="AM22" s="462"/>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2"/>
      <c r="BK22" s="462"/>
      <c r="BL22" s="462"/>
      <c r="BM22" s="462"/>
      <c r="BN22" s="462"/>
      <c r="BO22" s="462"/>
      <c r="BP22" s="462"/>
      <c r="BQ22" s="462"/>
      <c r="BR22" s="462"/>
      <c r="BS22" s="462"/>
      <c r="BT22" s="462"/>
      <c r="BU22" s="462"/>
      <c r="BV22" s="462"/>
      <c r="BW22" s="462"/>
      <c r="BX22" s="462"/>
      <c r="BY22" s="462"/>
      <c r="BZ22" s="462"/>
      <c r="CA22" s="462"/>
      <c r="CB22" s="462"/>
      <c r="CC22" s="462"/>
      <c r="CD22" s="462"/>
      <c r="CE22" s="462"/>
      <c r="CF22" s="462"/>
      <c r="CG22" s="462"/>
      <c r="CH22" s="462"/>
      <c r="CI22" s="462"/>
      <c r="CJ22" s="462"/>
      <c r="CK22" s="462"/>
      <c r="CL22" s="462"/>
      <c r="CM22" s="462"/>
      <c r="CN22" s="462"/>
      <c r="CO22" s="462"/>
      <c r="CP22" s="462"/>
      <c r="CQ22" s="462"/>
      <c r="CR22" s="462"/>
      <c r="CS22" s="462"/>
      <c r="CT22" s="462"/>
      <c r="CU22" s="462"/>
      <c r="CV22" s="462"/>
      <c r="CW22" s="462"/>
      <c r="CX22" s="462"/>
      <c r="CY22" s="462"/>
      <c r="CZ22" s="462"/>
      <c r="DA22" s="462"/>
      <c r="DB22" s="462"/>
      <c r="DC22" s="462"/>
      <c r="DD22" s="462"/>
      <c r="DE22" s="462"/>
      <c r="DF22" s="462"/>
      <c r="DG22" s="462"/>
      <c r="DH22" s="462"/>
      <c r="DI22" s="462"/>
      <c r="DJ22" s="462"/>
      <c r="DK22" s="462"/>
      <c r="DL22" s="462"/>
      <c r="DM22" s="462"/>
      <c r="DN22" s="462"/>
      <c r="DO22" s="462"/>
      <c r="DP22" s="462"/>
      <c r="DQ22" s="462"/>
      <c r="DR22" s="462"/>
      <c r="DS22" s="462"/>
      <c r="DT22" s="462"/>
      <c r="DU22" s="462"/>
      <c r="DV22" s="462"/>
      <c r="DW22" s="462"/>
      <c r="DX22" s="462"/>
      <c r="DY22" s="462"/>
      <c r="DZ22" s="462"/>
      <c r="EA22" s="462"/>
      <c r="EB22" s="462"/>
      <c r="EC22" s="462"/>
      <c r="ED22" s="462"/>
      <c r="EE22" s="462"/>
      <c r="EF22" s="462"/>
      <c r="EG22" s="462"/>
      <c r="EH22" s="462"/>
      <c r="EI22" s="462"/>
      <c r="EJ22" s="462"/>
      <c r="EK22" s="462"/>
      <c r="EL22" s="462"/>
      <c r="EM22" s="462"/>
      <c r="EN22" s="462"/>
      <c r="EO22" s="462"/>
      <c r="EP22" s="462"/>
      <c r="EQ22" s="462"/>
      <c r="ER22" s="462"/>
      <c r="ES22" s="462"/>
      <c r="ET22" s="462"/>
      <c r="EU22" s="462"/>
      <c r="EV22" s="462"/>
      <c r="EW22" s="462"/>
      <c r="EX22" s="462"/>
      <c r="EY22" s="462"/>
      <c r="EZ22" s="462"/>
      <c r="FA22" s="462"/>
      <c r="FB22" s="462"/>
      <c r="FC22" s="462"/>
      <c r="FD22" s="462"/>
      <c r="FE22" s="462"/>
      <c r="FF22" s="462"/>
      <c r="FG22" s="462"/>
      <c r="FH22" s="462"/>
      <c r="FI22" s="462"/>
      <c r="FJ22" s="462"/>
      <c r="FK22" s="462"/>
      <c r="FL22" s="462"/>
      <c r="FM22" s="462"/>
      <c r="FN22" s="462"/>
      <c r="FO22" s="462"/>
      <c r="FP22" s="462"/>
      <c r="FQ22" s="462"/>
      <c r="FR22" s="462"/>
      <c r="FS22" s="462"/>
      <c r="FT22" s="462"/>
      <c r="FU22" s="462"/>
      <c r="FV22" s="462"/>
      <c r="FW22" s="462"/>
      <c r="FX22" s="462"/>
      <c r="FY22" s="462"/>
      <c r="FZ22" s="462"/>
      <c r="GA22" s="462"/>
      <c r="GB22" s="462"/>
      <c r="GC22" s="462"/>
      <c r="GD22" s="462"/>
      <c r="GE22" s="462"/>
      <c r="GF22" s="462"/>
      <c r="GG22" s="462"/>
      <c r="GH22" s="462"/>
      <c r="GI22" s="462"/>
      <c r="GJ22" s="462"/>
      <c r="GK22" s="462"/>
      <c r="GL22" s="462"/>
      <c r="GM22" s="462"/>
      <c r="GN22" s="462"/>
      <c r="GO22" s="462"/>
      <c r="GP22" s="462"/>
      <c r="GQ22" s="462"/>
      <c r="GR22" s="462"/>
      <c r="GS22" s="462"/>
      <c r="GT22" s="462"/>
      <c r="GU22" s="462"/>
      <c r="GV22" s="462"/>
      <c r="GW22" s="462"/>
      <c r="GX22" s="462"/>
      <c r="GY22" s="462"/>
      <c r="GZ22" s="462"/>
      <c r="HA22" s="462"/>
      <c r="HB22" s="462"/>
      <c r="HC22" s="462"/>
      <c r="HD22" s="462"/>
      <c r="HE22" s="462"/>
      <c r="HF22" s="462"/>
      <c r="HG22" s="462"/>
      <c r="HH22" s="462"/>
      <c r="HI22" s="462"/>
      <c r="HJ22" s="462"/>
      <c r="HK22" s="462"/>
      <c r="HL22" s="462"/>
      <c r="HM22" s="462"/>
      <c r="HN22" s="462"/>
      <c r="HO22" s="462"/>
      <c r="HP22" s="462"/>
      <c r="HQ22" s="462"/>
      <c r="HR22" s="462"/>
      <c r="HS22" s="462"/>
      <c r="HT22" s="462"/>
      <c r="HU22" s="462"/>
      <c r="HV22" s="462"/>
      <c r="HW22" s="462"/>
      <c r="HX22" s="462"/>
      <c r="HY22" s="462"/>
      <c r="HZ22" s="462"/>
      <c r="IA22" s="462"/>
      <c r="IB22" s="462"/>
      <c r="IC22" s="462"/>
      <c r="ID22" s="462"/>
      <c r="IE22" s="462"/>
      <c r="IF22" s="462"/>
      <c r="IG22" s="462"/>
      <c r="IH22" s="462"/>
      <c r="II22" s="462"/>
      <c r="IJ22" s="462"/>
      <c r="IK22" s="462"/>
      <c r="IL22" s="462"/>
      <c r="IM22" s="15"/>
      <c r="IN22" s="15"/>
      <c r="IO22" s="15"/>
      <c r="IP22" s="15"/>
      <c r="IQ22" s="15"/>
      <c r="IR22" s="15"/>
      <c r="IS22" s="15"/>
      <c r="IT22" s="15"/>
    </row>
    <row r="23" spans="1:254" s="195" customFormat="1" ht="12.75" customHeight="1" x14ac:dyDescent="0.15">
      <c r="A23" s="191" t="s">
        <v>110</v>
      </c>
      <c r="B23" s="192" t="str">
        <f>キャラシート!C31&amp;"+"&amp;キャラシート!D31&amp;"D6"</f>
        <v>12+1D6</v>
      </c>
      <c r="C23" s="472" t="str">
        <f>IF(G18="反応型",IF(50&gt;F20,"+0",IF(60&gt;F20,"+1",IF(70&gt;F20,"+2",IF(F20&gt;=70,"+3")))),"活性補正")</f>
        <v>活性補正</v>
      </c>
      <c r="D23" s="177" t="s">
        <v>111</v>
      </c>
      <c r="E23" s="193" t="str">
        <f>キャラシート!G31&amp;"D6"&amp;"+"&amp;キャラシート!H31</f>
        <v>1D6+0</v>
      </c>
      <c r="F23" s="473" t="str">
        <f>IF(G18="増強型",IF(50&gt;F20,"+0",IF(60&gt;F20,"+1",IF(70&gt;F20,"+2",IF(F20&gt;=70,"+3")))),"活性補正")</f>
        <v>活性補正</v>
      </c>
      <c r="G23" s="474" t="s">
        <v>233</v>
      </c>
      <c r="H23" s="474"/>
      <c r="I23" s="191" t="s">
        <v>234</v>
      </c>
      <c r="J23" s="191"/>
      <c r="K23" s="191"/>
      <c r="L23" s="191"/>
      <c r="M23" s="194" t="s">
        <v>235</v>
      </c>
      <c r="N23" s="195" t="s">
        <v>222</v>
      </c>
      <c r="O23" s="195">
        <v>5</v>
      </c>
      <c r="IL23" s="196"/>
      <c r="IM23" s="15"/>
      <c r="IN23" s="15"/>
      <c r="IO23" s="15"/>
      <c r="IP23" s="15"/>
      <c r="IQ23" s="15"/>
      <c r="IR23" s="15"/>
      <c r="IS23" s="15"/>
      <c r="IT23" s="15"/>
    </row>
    <row r="24" spans="1:254" s="205" customFormat="1" ht="12.75" customHeight="1" x14ac:dyDescent="0.15">
      <c r="A24" s="197" t="s">
        <v>162</v>
      </c>
      <c r="B24" s="198" t="str">
        <f>キャラシート!C33&amp;"+"&amp;キャラシート!D33&amp;"D6"</f>
        <v>14+1D6</v>
      </c>
      <c r="C24" s="472"/>
      <c r="D24" s="180" t="s">
        <v>351</v>
      </c>
      <c r="E24" s="199" t="str">
        <f>キャラシート!G33&amp;"D6"&amp;"+"&amp;キャラシート!H33</f>
        <v>1D6+1</v>
      </c>
      <c r="F24" s="473"/>
      <c r="G24" s="461" t="s">
        <v>236</v>
      </c>
      <c r="H24" s="461"/>
      <c r="I24" s="200" t="s">
        <v>237</v>
      </c>
      <c r="J24" s="201">
        <f>キャラシート!D17</f>
        <v>14</v>
      </c>
      <c r="K24" s="201" t="s">
        <v>238</v>
      </c>
      <c r="L24" s="202"/>
      <c r="M24" s="203" t="s">
        <v>235</v>
      </c>
      <c r="N24" s="204" t="s">
        <v>222</v>
      </c>
      <c r="O24" s="204"/>
      <c r="IL24" s="206"/>
      <c r="IM24" s="15"/>
      <c r="IN24" s="15"/>
      <c r="IO24" s="15"/>
      <c r="IP24" s="15"/>
      <c r="IQ24" s="15"/>
      <c r="IR24" s="15"/>
      <c r="IS24" s="15"/>
      <c r="IT24" s="15"/>
    </row>
    <row r="25" spans="1:254" s="212" customFormat="1" ht="12" customHeight="1" x14ac:dyDescent="0.15">
      <c r="A25" s="197" t="s">
        <v>163</v>
      </c>
      <c r="B25" s="198" t="str">
        <f>キャラシート!C35&amp;"+"&amp;キャラシート!D35&amp;"D6"</f>
        <v>5+1D6</v>
      </c>
      <c r="C25" s="472"/>
      <c r="D25" s="180" t="s">
        <v>358</v>
      </c>
      <c r="E25" s="199" t="str">
        <f>キャラシート!G35&amp;"D6"&amp;"+"&amp;キャラシート!H35</f>
        <v>5D6+0</v>
      </c>
      <c r="F25" s="473"/>
      <c r="G25" s="475" t="s">
        <v>239</v>
      </c>
      <c r="H25" s="475"/>
      <c r="I25" s="207"/>
      <c r="J25" s="208"/>
      <c r="K25" s="208"/>
      <c r="L25" s="209"/>
      <c r="M25" s="210" t="s">
        <v>240</v>
      </c>
      <c r="N25" s="211" t="s">
        <v>222</v>
      </c>
      <c r="O25" s="211"/>
      <c r="IL25" s="213"/>
      <c r="IM25" s="15"/>
      <c r="IN25" s="15"/>
      <c r="IO25" s="15"/>
      <c r="IP25" s="15"/>
      <c r="IQ25" s="15"/>
      <c r="IR25" s="15"/>
      <c r="IS25" s="15"/>
      <c r="IT25" s="15"/>
    </row>
    <row r="26" spans="1:254" s="212" customFormat="1" ht="12.75" customHeight="1" x14ac:dyDescent="0.15">
      <c r="A26" s="197" t="s">
        <v>780</v>
      </c>
      <c r="B26" s="214">
        <f>キャラシート!D23</f>
        <v>2</v>
      </c>
      <c r="C26" s="476" t="str">
        <f>IF(G18="増強型",IF(50&gt;F20,"+0",IF(60&gt;F20,"+1",IF(70&gt;F20,"+2",IF(F20&gt;=70,"+3")))),"活性補正")</f>
        <v>活性補正</v>
      </c>
      <c r="D26" s="180" t="s">
        <v>241</v>
      </c>
      <c r="E26" s="214">
        <f>キャラシート!H25</f>
        <v>12</v>
      </c>
      <c r="F26" s="215"/>
      <c r="G26" s="475" t="s">
        <v>242</v>
      </c>
      <c r="H26" s="475"/>
      <c r="I26" s="216" t="s">
        <v>243</v>
      </c>
      <c r="J26" s="217">
        <f>キャラシート!D19</f>
        <v>27</v>
      </c>
      <c r="K26" s="211" t="s">
        <v>244</v>
      </c>
      <c r="L26" s="218"/>
      <c r="M26" s="219" t="s">
        <v>240</v>
      </c>
      <c r="N26" s="211" t="s">
        <v>222</v>
      </c>
      <c r="O26" s="211"/>
      <c r="IL26" s="213"/>
      <c r="IM26" s="15"/>
      <c r="IN26" s="15"/>
      <c r="IO26" s="15"/>
      <c r="IP26" s="15"/>
      <c r="IQ26" s="15"/>
      <c r="IR26" s="15"/>
      <c r="IS26" s="15"/>
      <c r="IT26" s="15"/>
    </row>
    <row r="27" spans="1:254" s="225" customFormat="1" ht="12.75" customHeight="1" x14ac:dyDescent="0.15">
      <c r="A27" s="197" t="s">
        <v>245</v>
      </c>
      <c r="B27" s="214">
        <f>キャラシート!D25</f>
        <v>6</v>
      </c>
      <c r="C27" s="476"/>
      <c r="D27" s="180" t="s">
        <v>246</v>
      </c>
      <c r="E27" s="214">
        <f>キャラシート!H27</f>
        <v>3</v>
      </c>
      <c r="F27" s="220" t="str">
        <f>IF(G18="覚醒型",IF(50&gt;F20,"+0",IF(60&gt;F20,"+1",IF(70&gt;F20,"+2",IF(F20&gt;=70,"+3")))),"活性補正")</f>
        <v>+0</v>
      </c>
      <c r="G27" s="477" t="s">
        <v>247</v>
      </c>
      <c r="H27" s="477"/>
      <c r="I27" s="221" t="s">
        <v>248</v>
      </c>
      <c r="J27" s="179">
        <f>キャラシート!D21</f>
        <v>23</v>
      </c>
      <c r="K27" s="179" t="s">
        <v>249</v>
      </c>
      <c r="L27" s="222">
        <f>L26</f>
        <v>0</v>
      </c>
      <c r="M27" s="223" t="s">
        <v>235</v>
      </c>
      <c r="N27" s="224" t="s">
        <v>222</v>
      </c>
      <c r="O27" s="224">
        <v>10</v>
      </c>
      <c r="IL27" s="226"/>
      <c r="IM27" s="15"/>
      <c r="IN27" s="15"/>
      <c r="IO27" s="15"/>
      <c r="IP27" s="15"/>
      <c r="IQ27" s="15"/>
      <c r="IR27" s="15"/>
      <c r="IS27" s="15"/>
      <c r="IT27" s="15"/>
    </row>
    <row r="28" spans="1:254" s="15" customFormat="1" ht="12" customHeight="1" x14ac:dyDescent="0.15">
      <c r="A28" s="227" t="s">
        <v>744</v>
      </c>
      <c r="B28" s="228">
        <f>キャラシート!P15+キャラシート!Q15</f>
        <v>5</v>
      </c>
      <c r="C28" s="227" t="s">
        <v>851</v>
      </c>
      <c r="D28" s="228">
        <f>キャラシート!P17+キャラシート!Q17</f>
        <v>6</v>
      </c>
      <c r="E28" s="229" t="s">
        <v>615</v>
      </c>
      <c r="F28" s="228">
        <f>キャラシート!P19+キャラシート!Q19</f>
        <v>6</v>
      </c>
      <c r="G28" s="229" t="s">
        <v>970</v>
      </c>
      <c r="H28" s="228">
        <f>キャラシート!P21+キャラシート!Q21</f>
        <v>7</v>
      </c>
      <c r="I28" s="229" t="s">
        <v>468</v>
      </c>
      <c r="J28" s="228">
        <f>キャラシート!P23+キャラシート!Q23</f>
        <v>9</v>
      </c>
      <c r="K28" s="229" t="s">
        <v>819</v>
      </c>
      <c r="L28" s="230">
        <f>キャラシート!P25+キャラシート!Q25</f>
        <v>6</v>
      </c>
    </row>
    <row r="29" spans="1:254" s="15" customFormat="1" ht="12" customHeight="1" x14ac:dyDescent="0.15">
      <c r="A29" s="231" t="s">
        <v>1018</v>
      </c>
      <c r="B29" s="232">
        <f>キャラシート!P16+キャラシート!Q16</f>
        <v>4</v>
      </c>
      <c r="C29" s="231" t="s">
        <v>876</v>
      </c>
      <c r="D29" s="232">
        <f>キャラシート!P18+キャラシート!Q18</f>
        <v>4</v>
      </c>
      <c r="E29" s="233" t="s">
        <v>931</v>
      </c>
      <c r="F29" s="232">
        <f>キャラシート!P20+キャラシート!Q20</f>
        <v>12</v>
      </c>
      <c r="G29" s="233" t="s">
        <v>733</v>
      </c>
      <c r="H29" s="232">
        <f>キャラシート!P22+キャラシート!Q22</f>
        <v>2</v>
      </c>
      <c r="I29" s="233" t="s">
        <v>792</v>
      </c>
      <c r="J29" s="232">
        <f>キャラシート!P24+キャラシート!Q24</f>
        <v>9</v>
      </c>
      <c r="K29" s="233" t="s">
        <v>695</v>
      </c>
      <c r="L29" s="234">
        <f>キャラシート!P26+キャラシート!Q26</f>
        <v>6</v>
      </c>
    </row>
    <row r="31" spans="1:254" s="178" customFormat="1" ht="12.75" customHeight="1" x14ac:dyDescent="0.15">
      <c r="A31" s="478" t="s">
        <v>538</v>
      </c>
      <c r="B31" s="478"/>
      <c r="C31" s="478"/>
      <c r="D31" s="478"/>
      <c r="E31" s="479" t="s">
        <v>539</v>
      </c>
      <c r="F31" s="479"/>
      <c r="G31" s="480" t="s">
        <v>250</v>
      </c>
      <c r="H31" s="480"/>
      <c r="I31" s="480"/>
      <c r="J31" s="480"/>
      <c r="K31" s="480"/>
      <c r="L31" s="480"/>
      <c r="M31" s="469" t="s">
        <v>221</v>
      </c>
      <c r="N31" s="470" t="s">
        <v>222</v>
      </c>
      <c r="O31" s="462"/>
      <c r="P31" s="462"/>
      <c r="Q31" s="462"/>
      <c r="R31" s="462"/>
      <c r="S31" s="462"/>
      <c r="T31" s="462"/>
      <c r="U31" s="462"/>
      <c r="V31" s="462"/>
      <c r="W31" s="462"/>
      <c r="X31" s="462"/>
      <c r="Y31" s="462"/>
      <c r="Z31" s="462"/>
      <c r="AA31" s="462"/>
      <c r="AB31" s="462"/>
      <c r="AC31" s="462"/>
      <c r="AD31" s="462"/>
      <c r="AE31" s="462"/>
      <c r="AF31" s="462"/>
      <c r="AG31" s="462"/>
      <c r="AH31" s="462"/>
      <c r="AI31" s="462"/>
      <c r="AJ31" s="462"/>
      <c r="AK31" s="462"/>
      <c r="AL31" s="462"/>
      <c r="AM31" s="462"/>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2"/>
      <c r="BK31" s="462"/>
      <c r="BL31" s="462"/>
      <c r="BM31" s="462"/>
      <c r="BN31" s="462"/>
      <c r="BO31" s="462"/>
      <c r="BP31" s="462"/>
      <c r="BQ31" s="462"/>
      <c r="BR31" s="462"/>
      <c r="BS31" s="462"/>
      <c r="BT31" s="462"/>
      <c r="BU31" s="462"/>
      <c r="BV31" s="462"/>
      <c r="BW31" s="462"/>
      <c r="BX31" s="462"/>
      <c r="BY31" s="462"/>
      <c r="BZ31" s="462"/>
      <c r="CA31" s="462"/>
      <c r="CB31" s="462"/>
      <c r="CC31" s="462"/>
      <c r="CD31" s="462"/>
      <c r="CE31" s="462"/>
      <c r="CF31" s="462"/>
      <c r="CG31" s="462"/>
      <c r="CH31" s="462"/>
      <c r="CI31" s="462"/>
      <c r="CJ31" s="462"/>
      <c r="CK31" s="462"/>
      <c r="CL31" s="462"/>
      <c r="CM31" s="462"/>
      <c r="CN31" s="462"/>
      <c r="CO31" s="462"/>
      <c r="CP31" s="462"/>
      <c r="CQ31" s="462"/>
      <c r="CR31" s="462"/>
      <c r="CS31" s="462"/>
      <c r="CT31" s="462"/>
      <c r="CU31" s="462"/>
      <c r="CV31" s="462"/>
      <c r="CW31" s="462"/>
      <c r="CX31" s="462"/>
      <c r="CY31" s="462"/>
      <c r="CZ31" s="462"/>
      <c r="DA31" s="462"/>
      <c r="DB31" s="462"/>
      <c r="DC31" s="462"/>
      <c r="DD31" s="462"/>
      <c r="DE31" s="462"/>
      <c r="DF31" s="462"/>
      <c r="DG31" s="462"/>
      <c r="DH31" s="462"/>
      <c r="DI31" s="462"/>
      <c r="DJ31" s="462"/>
      <c r="DK31" s="462"/>
      <c r="DL31" s="462"/>
      <c r="DM31" s="462"/>
      <c r="DN31" s="462"/>
      <c r="DO31" s="462"/>
      <c r="DP31" s="462"/>
      <c r="DQ31" s="462"/>
      <c r="DR31" s="462"/>
      <c r="DS31" s="462"/>
      <c r="DT31" s="462"/>
      <c r="DU31" s="462"/>
      <c r="DV31" s="462"/>
      <c r="DW31" s="462"/>
      <c r="DX31" s="462"/>
      <c r="DY31" s="462"/>
      <c r="DZ31" s="462"/>
      <c r="EA31" s="462"/>
      <c r="EB31" s="462"/>
      <c r="EC31" s="462"/>
      <c r="ED31" s="462"/>
      <c r="EE31" s="462"/>
      <c r="EF31" s="462"/>
      <c r="EG31" s="462"/>
      <c r="EH31" s="462"/>
      <c r="EI31" s="462"/>
      <c r="EJ31" s="462"/>
      <c r="EK31" s="462"/>
      <c r="EL31" s="462"/>
      <c r="EM31" s="462"/>
      <c r="EN31" s="462"/>
      <c r="EO31" s="462"/>
      <c r="EP31" s="462"/>
      <c r="EQ31" s="462"/>
      <c r="ER31" s="462"/>
      <c r="ES31" s="462"/>
      <c r="ET31" s="462"/>
      <c r="EU31" s="462"/>
      <c r="EV31" s="462"/>
      <c r="EW31" s="462"/>
      <c r="EX31" s="462"/>
      <c r="EY31" s="462"/>
      <c r="EZ31" s="462"/>
      <c r="FA31" s="462"/>
      <c r="FB31" s="462"/>
      <c r="FC31" s="462"/>
      <c r="FD31" s="462"/>
      <c r="FE31" s="462"/>
      <c r="FF31" s="462"/>
      <c r="FG31" s="462"/>
      <c r="FH31" s="462"/>
      <c r="FI31" s="462"/>
      <c r="FJ31" s="462"/>
      <c r="FK31" s="462"/>
      <c r="FL31" s="462"/>
      <c r="FM31" s="462"/>
      <c r="FN31" s="462"/>
      <c r="FO31" s="462"/>
      <c r="FP31" s="462"/>
      <c r="FQ31" s="462"/>
      <c r="FR31" s="462"/>
      <c r="FS31" s="462"/>
      <c r="FT31" s="462"/>
      <c r="FU31" s="462"/>
      <c r="FV31" s="462"/>
      <c r="FW31" s="462"/>
      <c r="FX31" s="462"/>
      <c r="FY31" s="462"/>
      <c r="FZ31" s="462"/>
      <c r="GA31" s="462"/>
      <c r="GB31" s="462"/>
      <c r="GC31" s="462"/>
      <c r="GD31" s="462"/>
      <c r="GE31" s="462"/>
      <c r="GF31" s="462"/>
      <c r="GG31" s="462"/>
      <c r="GH31" s="462"/>
      <c r="GI31" s="462"/>
      <c r="GJ31" s="462"/>
      <c r="GK31" s="462"/>
      <c r="GL31" s="462"/>
      <c r="GM31" s="462"/>
      <c r="GN31" s="462"/>
      <c r="GO31" s="462"/>
      <c r="GP31" s="462"/>
      <c r="GQ31" s="462"/>
      <c r="GR31" s="462"/>
      <c r="GS31" s="462"/>
      <c r="GT31" s="462"/>
      <c r="GU31" s="462"/>
      <c r="GV31" s="462"/>
      <c r="GW31" s="462"/>
      <c r="GX31" s="462"/>
      <c r="GY31" s="462"/>
      <c r="GZ31" s="462"/>
      <c r="HA31" s="462"/>
      <c r="HB31" s="462"/>
      <c r="HC31" s="462"/>
      <c r="HD31" s="462"/>
      <c r="HE31" s="462"/>
      <c r="HF31" s="462"/>
      <c r="HG31" s="462"/>
      <c r="HH31" s="462"/>
      <c r="HI31" s="462"/>
      <c r="HJ31" s="462"/>
      <c r="HK31" s="462"/>
      <c r="HL31" s="462"/>
      <c r="HM31" s="462"/>
      <c r="HN31" s="462"/>
      <c r="HO31" s="462"/>
      <c r="HP31" s="462"/>
      <c r="HQ31" s="462"/>
      <c r="HR31" s="462"/>
      <c r="HS31" s="462"/>
      <c r="HT31" s="462"/>
      <c r="HU31" s="462"/>
      <c r="HV31" s="462"/>
      <c r="HW31" s="462"/>
      <c r="HX31" s="462"/>
      <c r="HY31" s="462"/>
      <c r="HZ31" s="462"/>
      <c r="IA31" s="462"/>
      <c r="IB31" s="462"/>
      <c r="IC31" s="462"/>
      <c r="ID31" s="462"/>
      <c r="IE31" s="462"/>
      <c r="IF31" s="462"/>
      <c r="IG31" s="462"/>
      <c r="IH31" s="462"/>
      <c r="II31" s="462"/>
      <c r="IJ31" s="462"/>
      <c r="IK31" s="462"/>
      <c r="IL31" s="463"/>
      <c r="IM31" s="15"/>
      <c r="IN31" s="15"/>
      <c r="IO31" s="15"/>
      <c r="IP31" s="15"/>
      <c r="IQ31" s="15"/>
      <c r="IR31" s="15"/>
      <c r="IS31" s="15"/>
      <c r="IT31" s="15"/>
    </row>
    <row r="32" spans="1:254" s="178" customFormat="1" ht="12.75" customHeight="1" x14ac:dyDescent="0.15">
      <c r="A32" s="464">
        <f>クリーチャー!D2</f>
        <v>0</v>
      </c>
      <c r="B32" s="464"/>
      <c r="C32" s="464"/>
      <c r="D32" s="464"/>
      <c r="E32" s="465" t="str">
        <f>キャラシート!J3</f>
        <v>チヒロ</v>
      </c>
      <c r="F32" s="465"/>
      <c r="G32" s="235" t="s">
        <v>744</v>
      </c>
      <c r="H32" s="236" t="s">
        <v>292</v>
      </c>
      <c r="I32" s="237" t="s">
        <v>851</v>
      </c>
      <c r="J32" s="236" t="s">
        <v>292</v>
      </c>
      <c r="K32" s="238" t="s">
        <v>615</v>
      </c>
      <c r="L32" s="236" t="s">
        <v>292</v>
      </c>
      <c r="M32" s="469"/>
      <c r="N32" s="470"/>
      <c r="O32" s="462"/>
      <c r="P32" s="462"/>
      <c r="Q32" s="462"/>
      <c r="R32" s="462"/>
      <c r="S32" s="462"/>
      <c r="T32" s="462"/>
      <c r="U32" s="462"/>
      <c r="V32" s="462"/>
      <c r="W32" s="462"/>
      <c r="X32" s="462"/>
      <c r="Y32" s="462"/>
      <c r="Z32" s="462"/>
      <c r="AA32" s="462"/>
      <c r="AB32" s="462"/>
      <c r="AC32" s="462"/>
      <c r="AD32" s="462"/>
      <c r="AE32" s="462"/>
      <c r="AF32" s="462"/>
      <c r="AG32" s="462"/>
      <c r="AH32" s="462"/>
      <c r="AI32" s="462"/>
      <c r="AJ32" s="462"/>
      <c r="AK32" s="462"/>
      <c r="AL32" s="462"/>
      <c r="AM32" s="462"/>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2"/>
      <c r="BK32" s="462"/>
      <c r="BL32" s="462"/>
      <c r="BM32" s="462"/>
      <c r="BN32" s="462"/>
      <c r="BO32" s="462"/>
      <c r="BP32" s="462"/>
      <c r="BQ32" s="462"/>
      <c r="BR32" s="462"/>
      <c r="BS32" s="462"/>
      <c r="BT32" s="462"/>
      <c r="BU32" s="462"/>
      <c r="BV32" s="462"/>
      <c r="BW32" s="462"/>
      <c r="BX32" s="462"/>
      <c r="BY32" s="462"/>
      <c r="BZ32" s="462"/>
      <c r="CA32" s="462"/>
      <c r="CB32" s="462"/>
      <c r="CC32" s="462"/>
      <c r="CD32" s="462"/>
      <c r="CE32" s="462"/>
      <c r="CF32" s="462"/>
      <c r="CG32" s="462"/>
      <c r="CH32" s="462"/>
      <c r="CI32" s="462"/>
      <c r="CJ32" s="462"/>
      <c r="CK32" s="462"/>
      <c r="CL32" s="462"/>
      <c r="CM32" s="462"/>
      <c r="CN32" s="462"/>
      <c r="CO32" s="462"/>
      <c r="CP32" s="462"/>
      <c r="CQ32" s="462"/>
      <c r="CR32" s="462"/>
      <c r="CS32" s="462"/>
      <c r="CT32" s="462"/>
      <c r="CU32" s="462"/>
      <c r="CV32" s="462"/>
      <c r="CW32" s="462"/>
      <c r="CX32" s="462"/>
      <c r="CY32" s="462"/>
      <c r="CZ32" s="462"/>
      <c r="DA32" s="462"/>
      <c r="DB32" s="462"/>
      <c r="DC32" s="462"/>
      <c r="DD32" s="462"/>
      <c r="DE32" s="462"/>
      <c r="DF32" s="462"/>
      <c r="DG32" s="462"/>
      <c r="DH32" s="462"/>
      <c r="DI32" s="462"/>
      <c r="DJ32" s="462"/>
      <c r="DK32" s="462"/>
      <c r="DL32" s="462"/>
      <c r="DM32" s="462"/>
      <c r="DN32" s="462"/>
      <c r="DO32" s="462"/>
      <c r="DP32" s="462"/>
      <c r="DQ32" s="462"/>
      <c r="DR32" s="462"/>
      <c r="DS32" s="462"/>
      <c r="DT32" s="462"/>
      <c r="DU32" s="462"/>
      <c r="DV32" s="462"/>
      <c r="DW32" s="462"/>
      <c r="DX32" s="462"/>
      <c r="DY32" s="462"/>
      <c r="DZ32" s="462"/>
      <c r="EA32" s="462"/>
      <c r="EB32" s="462"/>
      <c r="EC32" s="462"/>
      <c r="ED32" s="462"/>
      <c r="EE32" s="462"/>
      <c r="EF32" s="462"/>
      <c r="EG32" s="462"/>
      <c r="EH32" s="462"/>
      <c r="EI32" s="462"/>
      <c r="EJ32" s="462"/>
      <c r="EK32" s="462"/>
      <c r="EL32" s="462"/>
      <c r="EM32" s="462"/>
      <c r="EN32" s="462"/>
      <c r="EO32" s="462"/>
      <c r="EP32" s="462"/>
      <c r="EQ32" s="462"/>
      <c r="ER32" s="462"/>
      <c r="ES32" s="462"/>
      <c r="ET32" s="462"/>
      <c r="EU32" s="462"/>
      <c r="EV32" s="462"/>
      <c r="EW32" s="462"/>
      <c r="EX32" s="462"/>
      <c r="EY32" s="462"/>
      <c r="EZ32" s="462"/>
      <c r="FA32" s="462"/>
      <c r="FB32" s="462"/>
      <c r="FC32" s="462"/>
      <c r="FD32" s="462"/>
      <c r="FE32" s="462"/>
      <c r="FF32" s="462"/>
      <c r="FG32" s="462"/>
      <c r="FH32" s="462"/>
      <c r="FI32" s="462"/>
      <c r="FJ32" s="462"/>
      <c r="FK32" s="462"/>
      <c r="FL32" s="462"/>
      <c r="FM32" s="462"/>
      <c r="FN32" s="462"/>
      <c r="FO32" s="462"/>
      <c r="FP32" s="462"/>
      <c r="FQ32" s="462"/>
      <c r="FR32" s="462"/>
      <c r="FS32" s="462"/>
      <c r="FT32" s="462"/>
      <c r="FU32" s="462"/>
      <c r="FV32" s="462"/>
      <c r="FW32" s="462"/>
      <c r="FX32" s="462"/>
      <c r="FY32" s="462"/>
      <c r="FZ32" s="462"/>
      <c r="GA32" s="462"/>
      <c r="GB32" s="462"/>
      <c r="GC32" s="462"/>
      <c r="GD32" s="462"/>
      <c r="GE32" s="462"/>
      <c r="GF32" s="462"/>
      <c r="GG32" s="462"/>
      <c r="GH32" s="462"/>
      <c r="GI32" s="462"/>
      <c r="GJ32" s="462"/>
      <c r="GK32" s="462"/>
      <c r="GL32" s="462"/>
      <c r="GM32" s="462"/>
      <c r="GN32" s="462"/>
      <c r="GO32" s="462"/>
      <c r="GP32" s="462"/>
      <c r="GQ32" s="462"/>
      <c r="GR32" s="462"/>
      <c r="GS32" s="462"/>
      <c r="GT32" s="462"/>
      <c r="GU32" s="462"/>
      <c r="GV32" s="462"/>
      <c r="GW32" s="462"/>
      <c r="GX32" s="462"/>
      <c r="GY32" s="462"/>
      <c r="GZ32" s="462"/>
      <c r="HA32" s="462"/>
      <c r="HB32" s="462"/>
      <c r="HC32" s="462"/>
      <c r="HD32" s="462"/>
      <c r="HE32" s="462"/>
      <c r="HF32" s="462"/>
      <c r="HG32" s="462"/>
      <c r="HH32" s="462"/>
      <c r="HI32" s="462"/>
      <c r="HJ32" s="462"/>
      <c r="HK32" s="462"/>
      <c r="HL32" s="462"/>
      <c r="HM32" s="462"/>
      <c r="HN32" s="462"/>
      <c r="HO32" s="462"/>
      <c r="HP32" s="462"/>
      <c r="HQ32" s="462"/>
      <c r="HR32" s="462"/>
      <c r="HS32" s="462"/>
      <c r="HT32" s="462"/>
      <c r="HU32" s="462"/>
      <c r="HV32" s="462"/>
      <c r="HW32" s="462"/>
      <c r="HX32" s="462"/>
      <c r="HY32" s="462"/>
      <c r="HZ32" s="462"/>
      <c r="IA32" s="462"/>
      <c r="IB32" s="462"/>
      <c r="IC32" s="462"/>
      <c r="ID32" s="462"/>
      <c r="IE32" s="462"/>
      <c r="IF32" s="462"/>
      <c r="IG32" s="462"/>
      <c r="IH32" s="462"/>
      <c r="II32" s="462"/>
      <c r="IJ32" s="462"/>
      <c r="IK32" s="462"/>
      <c r="IL32" s="462"/>
      <c r="IM32" s="15"/>
      <c r="IN32" s="15"/>
      <c r="IO32" s="15"/>
      <c r="IP32" s="15"/>
      <c r="IQ32" s="15"/>
      <c r="IR32" s="15"/>
      <c r="IS32" s="15"/>
      <c r="IT32" s="15"/>
    </row>
    <row r="33" spans="1:254" s="178" customFormat="1" ht="12.75" customHeight="1" x14ac:dyDescent="0.15">
      <c r="A33" s="464"/>
      <c r="B33" s="464"/>
      <c r="C33" s="464"/>
      <c r="D33" s="464"/>
      <c r="E33" s="465"/>
      <c r="F33" s="465"/>
      <c r="G33" s="239" t="s">
        <v>1018</v>
      </c>
      <c r="H33" s="236" t="s">
        <v>292</v>
      </c>
      <c r="I33" s="240" t="s">
        <v>876</v>
      </c>
      <c r="J33" s="236" t="s">
        <v>292</v>
      </c>
      <c r="K33" s="241" t="s">
        <v>931</v>
      </c>
      <c r="L33" s="236" t="s">
        <v>292</v>
      </c>
      <c r="M33" s="469"/>
      <c r="N33" s="470"/>
      <c r="O33" s="462"/>
      <c r="P33" s="462"/>
      <c r="Q33" s="462"/>
      <c r="R33" s="462"/>
      <c r="S33" s="462"/>
      <c r="T33" s="462"/>
      <c r="U33" s="462"/>
      <c r="V33" s="462"/>
      <c r="W33" s="462"/>
      <c r="X33" s="462"/>
      <c r="Y33" s="462"/>
      <c r="Z33" s="462"/>
      <c r="AA33" s="462"/>
      <c r="AB33" s="462"/>
      <c r="AC33" s="462"/>
      <c r="AD33" s="462"/>
      <c r="AE33" s="462"/>
      <c r="AF33" s="462"/>
      <c r="AG33" s="462"/>
      <c r="AH33" s="462"/>
      <c r="AI33" s="462"/>
      <c r="AJ33" s="462"/>
      <c r="AK33" s="462"/>
      <c r="AL33" s="462"/>
      <c r="AM33" s="462"/>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2"/>
      <c r="BK33" s="462"/>
      <c r="BL33" s="462"/>
      <c r="BM33" s="462"/>
      <c r="BN33" s="462"/>
      <c r="BO33" s="462"/>
      <c r="BP33" s="462"/>
      <c r="BQ33" s="462"/>
      <c r="BR33" s="462"/>
      <c r="BS33" s="462"/>
      <c r="BT33" s="462"/>
      <c r="BU33" s="462"/>
      <c r="BV33" s="462"/>
      <c r="BW33" s="462"/>
      <c r="BX33" s="462"/>
      <c r="BY33" s="462"/>
      <c r="BZ33" s="462"/>
      <c r="CA33" s="462"/>
      <c r="CB33" s="462"/>
      <c r="CC33" s="462"/>
      <c r="CD33" s="462"/>
      <c r="CE33" s="462"/>
      <c r="CF33" s="462"/>
      <c r="CG33" s="462"/>
      <c r="CH33" s="462"/>
      <c r="CI33" s="462"/>
      <c r="CJ33" s="462"/>
      <c r="CK33" s="462"/>
      <c r="CL33" s="462"/>
      <c r="CM33" s="462"/>
      <c r="CN33" s="462"/>
      <c r="CO33" s="462"/>
      <c r="CP33" s="462"/>
      <c r="CQ33" s="462"/>
      <c r="CR33" s="462"/>
      <c r="CS33" s="462"/>
      <c r="CT33" s="462"/>
      <c r="CU33" s="462"/>
      <c r="CV33" s="462"/>
      <c r="CW33" s="462"/>
      <c r="CX33" s="462"/>
      <c r="CY33" s="462"/>
      <c r="CZ33" s="462"/>
      <c r="DA33" s="462"/>
      <c r="DB33" s="462"/>
      <c r="DC33" s="462"/>
      <c r="DD33" s="462"/>
      <c r="DE33" s="462"/>
      <c r="DF33" s="462"/>
      <c r="DG33" s="462"/>
      <c r="DH33" s="462"/>
      <c r="DI33" s="462"/>
      <c r="DJ33" s="462"/>
      <c r="DK33" s="462"/>
      <c r="DL33" s="462"/>
      <c r="DM33" s="462"/>
      <c r="DN33" s="462"/>
      <c r="DO33" s="462"/>
      <c r="DP33" s="462"/>
      <c r="DQ33" s="462"/>
      <c r="DR33" s="462"/>
      <c r="DS33" s="462"/>
      <c r="DT33" s="462"/>
      <c r="DU33" s="462"/>
      <c r="DV33" s="462"/>
      <c r="DW33" s="462"/>
      <c r="DX33" s="462"/>
      <c r="DY33" s="462"/>
      <c r="DZ33" s="462"/>
      <c r="EA33" s="462"/>
      <c r="EB33" s="462"/>
      <c r="EC33" s="462"/>
      <c r="ED33" s="462"/>
      <c r="EE33" s="462"/>
      <c r="EF33" s="462"/>
      <c r="EG33" s="462"/>
      <c r="EH33" s="462"/>
      <c r="EI33" s="462"/>
      <c r="EJ33" s="462"/>
      <c r="EK33" s="462"/>
      <c r="EL33" s="462"/>
      <c r="EM33" s="462"/>
      <c r="EN33" s="462"/>
      <c r="EO33" s="462"/>
      <c r="EP33" s="462"/>
      <c r="EQ33" s="462"/>
      <c r="ER33" s="462"/>
      <c r="ES33" s="462"/>
      <c r="ET33" s="462"/>
      <c r="EU33" s="462"/>
      <c r="EV33" s="462"/>
      <c r="EW33" s="462"/>
      <c r="EX33" s="462"/>
      <c r="EY33" s="462"/>
      <c r="EZ33" s="462"/>
      <c r="FA33" s="462"/>
      <c r="FB33" s="462"/>
      <c r="FC33" s="462"/>
      <c r="FD33" s="462"/>
      <c r="FE33" s="462"/>
      <c r="FF33" s="462"/>
      <c r="FG33" s="462"/>
      <c r="FH33" s="462"/>
      <c r="FI33" s="462"/>
      <c r="FJ33" s="462"/>
      <c r="FK33" s="462"/>
      <c r="FL33" s="462"/>
      <c r="FM33" s="462"/>
      <c r="FN33" s="462"/>
      <c r="FO33" s="462"/>
      <c r="FP33" s="462"/>
      <c r="FQ33" s="462"/>
      <c r="FR33" s="462"/>
      <c r="FS33" s="462"/>
      <c r="FT33" s="462"/>
      <c r="FU33" s="462"/>
      <c r="FV33" s="462"/>
      <c r="FW33" s="462"/>
      <c r="FX33" s="462"/>
      <c r="FY33" s="462"/>
      <c r="FZ33" s="462"/>
      <c r="GA33" s="462"/>
      <c r="GB33" s="462"/>
      <c r="GC33" s="462"/>
      <c r="GD33" s="462"/>
      <c r="GE33" s="462"/>
      <c r="GF33" s="462"/>
      <c r="GG33" s="462"/>
      <c r="GH33" s="462"/>
      <c r="GI33" s="462"/>
      <c r="GJ33" s="462"/>
      <c r="GK33" s="462"/>
      <c r="GL33" s="462"/>
      <c r="GM33" s="462"/>
      <c r="GN33" s="462"/>
      <c r="GO33" s="462"/>
      <c r="GP33" s="462"/>
      <c r="GQ33" s="462"/>
      <c r="GR33" s="462"/>
      <c r="GS33" s="462"/>
      <c r="GT33" s="462"/>
      <c r="GU33" s="462"/>
      <c r="GV33" s="462"/>
      <c r="GW33" s="462"/>
      <c r="GX33" s="462"/>
      <c r="GY33" s="462"/>
      <c r="GZ33" s="462"/>
      <c r="HA33" s="462"/>
      <c r="HB33" s="462"/>
      <c r="HC33" s="462"/>
      <c r="HD33" s="462"/>
      <c r="HE33" s="462"/>
      <c r="HF33" s="462"/>
      <c r="HG33" s="462"/>
      <c r="HH33" s="462"/>
      <c r="HI33" s="462"/>
      <c r="HJ33" s="462"/>
      <c r="HK33" s="462"/>
      <c r="HL33" s="462"/>
      <c r="HM33" s="462"/>
      <c r="HN33" s="462"/>
      <c r="HO33" s="462"/>
      <c r="HP33" s="462"/>
      <c r="HQ33" s="462"/>
      <c r="HR33" s="462"/>
      <c r="HS33" s="462"/>
      <c r="HT33" s="462"/>
      <c r="HU33" s="462"/>
      <c r="HV33" s="462"/>
      <c r="HW33" s="462"/>
      <c r="HX33" s="462"/>
      <c r="HY33" s="462"/>
      <c r="HZ33" s="462"/>
      <c r="IA33" s="462"/>
      <c r="IB33" s="462"/>
      <c r="IC33" s="462"/>
      <c r="ID33" s="462"/>
      <c r="IE33" s="462"/>
      <c r="IF33" s="462"/>
      <c r="IG33" s="462"/>
      <c r="IH33" s="462"/>
      <c r="II33" s="462"/>
      <c r="IJ33" s="462"/>
      <c r="IK33" s="462"/>
      <c r="IL33" s="462"/>
      <c r="IM33" s="15"/>
      <c r="IN33" s="15"/>
      <c r="IO33" s="15"/>
      <c r="IP33" s="15"/>
      <c r="IQ33" s="15"/>
      <c r="IR33" s="15"/>
      <c r="IS33" s="15"/>
      <c r="IT33" s="15"/>
    </row>
    <row r="34" spans="1:254" s="178" customFormat="1" ht="12.75" customHeight="1" x14ac:dyDescent="0.15">
      <c r="A34" s="464"/>
      <c r="B34" s="464"/>
      <c r="C34" s="464"/>
      <c r="D34" s="464"/>
      <c r="E34" s="465"/>
      <c r="F34" s="465"/>
      <c r="G34" s="242" t="s">
        <v>970</v>
      </c>
      <c r="H34" s="236" t="s">
        <v>292</v>
      </c>
      <c r="I34" s="241" t="s">
        <v>468</v>
      </c>
      <c r="J34" s="236" t="s">
        <v>292</v>
      </c>
      <c r="K34" s="241" t="s">
        <v>819</v>
      </c>
      <c r="L34" s="236" t="s">
        <v>292</v>
      </c>
      <c r="M34" s="469"/>
      <c r="N34" s="469"/>
      <c r="O34" s="462"/>
      <c r="P34" s="462"/>
      <c r="Q34" s="462"/>
      <c r="R34" s="462"/>
      <c r="S34" s="462"/>
      <c r="T34" s="462"/>
      <c r="U34" s="462"/>
      <c r="V34" s="462"/>
      <c r="W34" s="462"/>
      <c r="X34" s="462"/>
      <c r="Y34" s="462"/>
      <c r="Z34" s="462"/>
      <c r="AA34" s="462"/>
      <c r="AB34" s="462"/>
      <c r="AC34" s="462"/>
      <c r="AD34" s="462"/>
      <c r="AE34" s="462"/>
      <c r="AF34" s="462"/>
      <c r="AG34" s="462"/>
      <c r="AH34" s="462"/>
      <c r="AI34" s="462"/>
      <c r="AJ34" s="462"/>
      <c r="AK34" s="462"/>
      <c r="AL34" s="462"/>
      <c r="AM34" s="462"/>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2"/>
      <c r="BK34" s="462"/>
      <c r="BL34" s="462"/>
      <c r="BM34" s="462"/>
      <c r="BN34" s="462"/>
      <c r="BO34" s="462"/>
      <c r="BP34" s="462"/>
      <c r="BQ34" s="462"/>
      <c r="BR34" s="462"/>
      <c r="BS34" s="462"/>
      <c r="BT34" s="462"/>
      <c r="BU34" s="462"/>
      <c r="BV34" s="462"/>
      <c r="BW34" s="462"/>
      <c r="BX34" s="462"/>
      <c r="BY34" s="462"/>
      <c r="BZ34" s="462"/>
      <c r="CA34" s="462"/>
      <c r="CB34" s="462"/>
      <c r="CC34" s="462"/>
      <c r="CD34" s="462"/>
      <c r="CE34" s="462"/>
      <c r="CF34" s="462"/>
      <c r="CG34" s="462"/>
      <c r="CH34" s="462"/>
      <c r="CI34" s="462"/>
      <c r="CJ34" s="462"/>
      <c r="CK34" s="462"/>
      <c r="CL34" s="462"/>
      <c r="CM34" s="462"/>
      <c r="CN34" s="462"/>
      <c r="CO34" s="462"/>
      <c r="CP34" s="462"/>
      <c r="CQ34" s="462"/>
      <c r="CR34" s="462"/>
      <c r="CS34" s="462"/>
      <c r="CT34" s="462"/>
      <c r="CU34" s="462"/>
      <c r="CV34" s="462"/>
      <c r="CW34" s="462"/>
      <c r="CX34" s="462"/>
      <c r="CY34" s="462"/>
      <c r="CZ34" s="462"/>
      <c r="DA34" s="462"/>
      <c r="DB34" s="462"/>
      <c r="DC34" s="462"/>
      <c r="DD34" s="462"/>
      <c r="DE34" s="462"/>
      <c r="DF34" s="462"/>
      <c r="DG34" s="462"/>
      <c r="DH34" s="462"/>
      <c r="DI34" s="462"/>
      <c r="DJ34" s="462"/>
      <c r="DK34" s="462"/>
      <c r="DL34" s="462"/>
      <c r="DM34" s="462"/>
      <c r="DN34" s="462"/>
      <c r="DO34" s="462"/>
      <c r="DP34" s="462"/>
      <c r="DQ34" s="462"/>
      <c r="DR34" s="462"/>
      <c r="DS34" s="462"/>
      <c r="DT34" s="462"/>
      <c r="DU34" s="462"/>
      <c r="DV34" s="462"/>
      <c r="DW34" s="462"/>
      <c r="DX34" s="462"/>
      <c r="DY34" s="462"/>
      <c r="DZ34" s="462"/>
      <c r="EA34" s="462"/>
      <c r="EB34" s="462"/>
      <c r="EC34" s="462"/>
      <c r="ED34" s="462"/>
      <c r="EE34" s="462"/>
      <c r="EF34" s="462"/>
      <c r="EG34" s="462"/>
      <c r="EH34" s="462"/>
      <c r="EI34" s="462"/>
      <c r="EJ34" s="462"/>
      <c r="EK34" s="462"/>
      <c r="EL34" s="462"/>
      <c r="EM34" s="462"/>
      <c r="EN34" s="462"/>
      <c r="EO34" s="462"/>
      <c r="EP34" s="462"/>
      <c r="EQ34" s="462"/>
      <c r="ER34" s="462"/>
      <c r="ES34" s="462"/>
      <c r="ET34" s="462"/>
      <c r="EU34" s="462"/>
      <c r="EV34" s="462"/>
      <c r="EW34" s="462"/>
      <c r="EX34" s="462"/>
      <c r="EY34" s="462"/>
      <c r="EZ34" s="462"/>
      <c r="FA34" s="462"/>
      <c r="FB34" s="462"/>
      <c r="FC34" s="462"/>
      <c r="FD34" s="462"/>
      <c r="FE34" s="462"/>
      <c r="FF34" s="462"/>
      <c r="FG34" s="462"/>
      <c r="FH34" s="462"/>
      <c r="FI34" s="462"/>
      <c r="FJ34" s="462"/>
      <c r="FK34" s="462"/>
      <c r="FL34" s="462"/>
      <c r="FM34" s="462"/>
      <c r="FN34" s="462"/>
      <c r="FO34" s="462"/>
      <c r="FP34" s="462"/>
      <c r="FQ34" s="462"/>
      <c r="FR34" s="462"/>
      <c r="FS34" s="462"/>
      <c r="FT34" s="462"/>
      <c r="FU34" s="462"/>
      <c r="FV34" s="462"/>
      <c r="FW34" s="462"/>
      <c r="FX34" s="462"/>
      <c r="FY34" s="462"/>
      <c r="FZ34" s="462"/>
      <c r="GA34" s="462"/>
      <c r="GB34" s="462"/>
      <c r="GC34" s="462"/>
      <c r="GD34" s="462"/>
      <c r="GE34" s="462"/>
      <c r="GF34" s="462"/>
      <c r="GG34" s="462"/>
      <c r="GH34" s="462"/>
      <c r="GI34" s="462"/>
      <c r="GJ34" s="462"/>
      <c r="GK34" s="462"/>
      <c r="GL34" s="462"/>
      <c r="GM34" s="462"/>
      <c r="GN34" s="462"/>
      <c r="GO34" s="462"/>
      <c r="GP34" s="462"/>
      <c r="GQ34" s="462"/>
      <c r="GR34" s="462"/>
      <c r="GS34" s="462"/>
      <c r="GT34" s="462"/>
      <c r="GU34" s="462"/>
      <c r="GV34" s="462"/>
      <c r="GW34" s="462"/>
      <c r="GX34" s="462"/>
      <c r="GY34" s="462"/>
      <c r="GZ34" s="462"/>
      <c r="HA34" s="462"/>
      <c r="HB34" s="462"/>
      <c r="HC34" s="462"/>
      <c r="HD34" s="462"/>
      <c r="HE34" s="462"/>
      <c r="HF34" s="462"/>
      <c r="HG34" s="462"/>
      <c r="HH34" s="462"/>
      <c r="HI34" s="462"/>
      <c r="HJ34" s="462"/>
      <c r="HK34" s="462"/>
      <c r="HL34" s="462"/>
      <c r="HM34" s="462"/>
      <c r="HN34" s="462"/>
      <c r="HO34" s="462"/>
      <c r="HP34" s="462"/>
      <c r="HQ34" s="462"/>
      <c r="HR34" s="462"/>
      <c r="HS34" s="462"/>
      <c r="HT34" s="462"/>
      <c r="HU34" s="462"/>
      <c r="HV34" s="462"/>
      <c r="HW34" s="462"/>
      <c r="HX34" s="462"/>
      <c r="HY34" s="462"/>
      <c r="HZ34" s="462"/>
      <c r="IA34" s="462"/>
      <c r="IB34" s="462"/>
      <c r="IC34" s="462"/>
      <c r="ID34" s="462"/>
      <c r="IE34" s="462"/>
      <c r="IF34" s="462"/>
      <c r="IG34" s="462"/>
      <c r="IH34" s="462"/>
      <c r="II34" s="462"/>
      <c r="IJ34" s="462"/>
      <c r="IK34" s="462"/>
      <c r="IL34" s="462"/>
      <c r="IM34" s="15"/>
      <c r="IN34" s="15"/>
      <c r="IO34" s="15"/>
      <c r="IP34" s="15"/>
      <c r="IQ34" s="15"/>
      <c r="IR34" s="15"/>
      <c r="IS34" s="15"/>
      <c r="IT34" s="15"/>
    </row>
    <row r="35" spans="1:254" s="178" customFormat="1" ht="12" customHeight="1" x14ac:dyDescent="0.15">
      <c r="A35" s="466" t="s">
        <v>227</v>
      </c>
      <c r="B35" s="466"/>
      <c r="C35" s="467" t="s">
        <v>102</v>
      </c>
      <c r="D35" s="468">
        <f>クリーチャー!C16</f>
        <v>0</v>
      </c>
      <c r="E35" s="467" t="s">
        <v>251</v>
      </c>
      <c r="F35" s="471">
        <f>クリーチャー!H5</f>
        <v>12</v>
      </c>
      <c r="G35" s="243" t="s">
        <v>733</v>
      </c>
      <c r="H35" s="236" t="s">
        <v>292</v>
      </c>
      <c r="I35" s="244" t="s">
        <v>792</v>
      </c>
      <c r="J35" s="236" t="s">
        <v>292</v>
      </c>
      <c r="K35" s="244" t="s">
        <v>695</v>
      </c>
      <c r="L35" s="236" t="s">
        <v>292</v>
      </c>
      <c r="M35" s="469"/>
      <c r="N35" s="469"/>
      <c r="O35" s="462"/>
      <c r="P35" s="462"/>
      <c r="Q35" s="462"/>
      <c r="R35" s="462"/>
      <c r="S35" s="462"/>
      <c r="T35" s="462"/>
      <c r="U35" s="462"/>
      <c r="V35" s="462"/>
      <c r="W35" s="462"/>
      <c r="X35" s="462"/>
      <c r="Y35" s="462"/>
      <c r="Z35" s="462"/>
      <c r="AA35" s="462"/>
      <c r="AB35" s="462"/>
      <c r="AC35" s="462"/>
      <c r="AD35" s="462"/>
      <c r="AE35" s="462"/>
      <c r="AF35" s="462"/>
      <c r="AG35" s="462"/>
      <c r="AH35" s="462"/>
      <c r="AI35" s="462"/>
      <c r="AJ35" s="462"/>
      <c r="AK35" s="462"/>
      <c r="AL35" s="462"/>
      <c r="AM35" s="462"/>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2"/>
      <c r="BK35" s="462"/>
      <c r="BL35" s="462"/>
      <c r="BM35" s="462"/>
      <c r="BN35" s="462"/>
      <c r="BO35" s="462"/>
      <c r="BP35" s="462"/>
      <c r="BQ35" s="462"/>
      <c r="BR35" s="462"/>
      <c r="BS35" s="462"/>
      <c r="BT35" s="462"/>
      <c r="BU35" s="462"/>
      <c r="BV35" s="462"/>
      <c r="BW35" s="462"/>
      <c r="BX35" s="462"/>
      <c r="BY35" s="462"/>
      <c r="BZ35" s="462"/>
      <c r="CA35" s="462"/>
      <c r="CB35" s="462"/>
      <c r="CC35" s="462"/>
      <c r="CD35" s="462"/>
      <c r="CE35" s="462"/>
      <c r="CF35" s="462"/>
      <c r="CG35" s="462"/>
      <c r="CH35" s="462"/>
      <c r="CI35" s="462"/>
      <c r="CJ35" s="462"/>
      <c r="CK35" s="462"/>
      <c r="CL35" s="462"/>
      <c r="CM35" s="462"/>
      <c r="CN35" s="462"/>
      <c r="CO35" s="462"/>
      <c r="CP35" s="462"/>
      <c r="CQ35" s="462"/>
      <c r="CR35" s="462"/>
      <c r="CS35" s="462"/>
      <c r="CT35" s="462"/>
      <c r="CU35" s="462"/>
      <c r="CV35" s="462"/>
      <c r="CW35" s="462"/>
      <c r="CX35" s="462"/>
      <c r="CY35" s="462"/>
      <c r="CZ35" s="462"/>
      <c r="DA35" s="462"/>
      <c r="DB35" s="462"/>
      <c r="DC35" s="462"/>
      <c r="DD35" s="462"/>
      <c r="DE35" s="462"/>
      <c r="DF35" s="462"/>
      <c r="DG35" s="462"/>
      <c r="DH35" s="462"/>
      <c r="DI35" s="462"/>
      <c r="DJ35" s="462"/>
      <c r="DK35" s="462"/>
      <c r="DL35" s="462"/>
      <c r="DM35" s="462"/>
      <c r="DN35" s="462"/>
      <c r="DO35" s="462"/>
      <c r="DP35" s="462"/>
      <c r="DQ35" s="462"/>
      <c r="DR35" s="462"/>
      <c r="DS35" s="462"/>
      <c r="DT35" s="462"/>
      <c r="DU35" s="462"/>
      <c r="DV35" s="462"/>
      <c r="DW35" s="462"/>
      <c r="DX35" s="462"/>
      <c r="DY35" s="462"/>
      <c r="DZ35" s="462"/>
      <c r="EA35" s="462"/>
      <c r="EB35" s="462"/>
      <c r="EC35" s="462"/>
      <c r="ED35" s="462"/>
      <c r="EE35" s="462"/>
      <c r="EF35" s="462"/>
      <c r="EG35" s="462"/>
      <c r="EH35" s="462"/>
      <c r="EI35" s="462"/>
      <c r="EJ35" s="462"/>
      <c r="EK35" s="462"/>
      <c r="EL35" s="462"/>
      <c r="EM35" s="462"/>
      <c r="EN35" s="462"/>
      <c r="EO35" s="462"/>
      <c r="EP35" s="462"/>
      <c r="EQ35" s="462"/>
      <c r="ER35" s="462"/>
      <c r="ES35" s="462"/>
      <c r="ET35" s="462"/>
      <c r="EU35" s="462"/>
      <c r="EV35" s="462"/>
      <c r="EW35" s="462"/>
      <c r="EX35" s="462"/>
      <c r="EY35" s="462"/>
      <c r="EZ35" s="462"/>
      <c r="FA35" s="462"/>
      <c r="FB35" s="462"/>
      <c r="FC35" s="462"/>
      <c r="FD35" s="462"/>
      <c r="FE35" s="462"/>
      <c r="FF35" s="462"/>
      <c r="FG35" s="462"/>
      <c r="FH35" s="462"/>
      <c r="FI35" s="462"/>
      <c r="FJ35" s="462"/>
      <c r="FK35" s="462"/>
      <c r="FL35" s="462"/>
      <c r="FM35" s="462"/>
      <c r="FN35" s="462"/>
      <c r="FO35" s="462"/>
      <c r="FP35" s="462"/>
      <c r="FQ35" s="462"/>
      <c r="FR35" s="462"/>
      <c r="FS35" s="462"/>
      <c r="FT35" s="462"/>
      <c r="FU35" s="462"/>
      <c r="FV35" s="462"/>
      <c r="FW35" s="462"/>
      <c r="FX35" s="462"/>
      <c r="FY35" s="462"/>
      <c r="FZ35" s="462"/>
      <c r="GA35" s="462"/>
      <c r="GB35" s="462"/>
      <c r="GC35" s="462"/>
      <c r="GD35" s="462"/>
      <c r="GE35" s="462"/>
      <c r="GF35" s="462"/>
      <c r="GG35" s="462"/>
      <c r="GH35" s="462"/>
      <c r="GI35" s="462"/>
      <c r="GJ35" s="462"/>
      <c r="GK35" s="462"/>
      <c r="GL35" s="462"/>
      <c r="GM35" s="462"/>
      <c r="GN35" s="462"/>
      <c r="GO35" s="462"/>
      <c r="GP35" s="462"/>
      <c r="GQ35" s="462"/>
      <c r="GR35" s="462"/>
      <c r="GS35" s="462"/>
      <c r="GT35" s="462"/>
      <c r="GU35" s="462"/>
      <c r="GV35" s="462"/>
      <c r="GW35" s="462"/>
      <c r="GX35" s="462"/>
      <c r="GY35" s="462"/>
      <c r="GZ35" s="462"/>
      <c r="HA35" s="462"/>
      <c r="HB35" s="462"/>
      <c r="HC35" s="462"/>
      <c r="HD35" s="462"/>
      <c r="HE35" s="462"/>
      <c r="HF35" s="462"/>
      <c r="HG35" s="462"/>
      <c r="HH35" s="462"/>
      <c r="HI35" s="462"/>
      <c r="HJ35" s="462"/>
      <c r="HK35" s="462"/>
      <c r="HL35" s="462"/>
      <c r="HM35" s="462"/>
      <c r="HN35" s="462"/>
      <c r="HO35" s="462"/>
      <c r="HP35" s="462"/>
      <c r="HQ35" s="462"/>
      <c r="HR35" s="462"/>
      <c r="HS35" s="462"/>
      <c r="HT35" s="462"/>
      <c r="HU35" s="462"/>
      <c r="HV35" s="462"/>
      <c r="HW35" s="462"/>
      <c r="HX35" s="462"/>
      <c r="HY35" s="462"/>
      <c r="HZ35" s="462"/>
      <c r="IA35" s="462"/>
      <c r="IB35" s="462"/>
      <c r="IC35" s="462"/>
      <c r="ID35" s="462"/>
      <c r="IE35" s="462"/>
      <c r="IF35" s="462"/>
      <c r="IG35" s="462"/>
      <c r="IH35" s="462"/>
      <c r="II35" s="462"/>
      <c r="IJ35" s="462"/>
      <c r="IK35" s="462"/>
      <c r="IL35" s="462"/>
      <c r="IM35" s="15"/>
      <c r="IN35" s="15"/>
      <c r="IO35" s="15"/>
      <c r="IP35" s="15"/>
      <c r="IQ35" s="15"/>
      <c r="IR35" s="15"/>
      <c r="IS35" s="15"/>
      <c r="IT35" s="15"/>
    </row>
    <row r="36" spans="1:254" s="178" customFormat="1" ht="12.75" customHeight="1" x14ac:dyDescent="0.15">
      <c r="A36" s="181">
        <f>B36+SUM(O37:IL37)</f>
        <v>0</v>
      </c>
      <c r="B36" s="182">
        <f>J37</f>
        <v>0</v>
      </c>
      <c r="C36" s="467"/>
      <c r="D36" s="468"/>
      <c r="E36" s="467"/>
      <c r="F36" s="471"/>
      <c r="G36" s="245"/>
      <c r="H36" s="245"/>
      <c r="I36" s="245"/>
      <c r="J36" s="245"/>
      <c r="K36" s="245"/>
      <c r="L36" s="85"/>
      <c r="M36" s="469"/>
      <c r="N36" s="469"/>
      <c r="O36" s="462"/>
      <c r="P36" s="462"/>
      <c r="Q36" s="462"/>
      <c r="R36" s="462"/>
      <c r="S36" s="462"/>
      <c r="T36" s="462"/>
      <c r="U36" s="462"/>
      <c r="V36" s="462"/>
      <c r="W36" s="462"/>
      <c r="X36" s="462"/>
      <c r="Y36" s="462"/>
      <c r="Z36" s="462"/>
      <c r="AA36" s="462"/>
      <c r="AB36" s="462"/>
      <c r="AC36" s="462"/>
      <c r="AD36" s="462"/>
      <c r="AE36" s="462"/>
      <c r="AF36" s="462"/>
      <c r="AG36" s="462"/>
      <c r="AH36" s="462"/>
      <c r="AI36" s="462"/>
      <c r="AJ36" s="462"/>
      <c r="AK36" s="462"/>
      <c r="AL36" s="462"/>
      <c r="AM36" s="462"/>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2"/>
      <c r="BK36" s="462"/>
      <c r="BL36" s="462"/>
      <c r="BM36" s="462"/>
      <c r="BN36" s="462"/>
      <c r="BO36" s="462"/>
      <c r="BP36" s="462"/>
      <c r="BQ36" s="462"/>
      <c r="BR36" s="462"/>
      <c r="BS36" s="462"/>
      <c r="BT36" s="462"/>
      <c r="BU36" s="462"/>
      <c r="BV36" s="462"/>
      <c r="BW36" s="462"/>
      <c r="BX36" s="462"/>
      <c r="BY36" s="462"/>
      <c r="BZ36" s="462"/>
      <c r="CA36" s="462"/>
      <c r="CB36" s="462"/>
      <c r="CC36" s="462"/>
      <c r="CD36" s="462"/>
      <c r="CE36" s="462"/>
      <c r="CF36" s="462"/>
      <c r="CG36" s="462"/>
      <c r="CH36" s="462"/>
      <c r="CI36" s="462"/>
      <c r="CJ36" s="462"/>
      <c r="CK36" s="462"/>
      <c r="CL36" s="462"/>
      <c r="CM36" s="462"/>
      <c r="CN36" s="462"/>
      <c r="CO36" s="462"/>
      <c r="CP36" s="462"/>
      <c r="CQ36" s="462"/>
      <c r="CR36" s="462"/>
      <c r="CS36" s="462"/>
      <c r="CT36" s="462"/>
      <c r="CU36" s="462"/>
      <c r="CV36" s="462"/>
      <c r="CW36" s="462"/>
      <c r="CX36" s="462"/>
      <c r="CY36" s="462"/>
      <c r="CZ36" s="462"/>
      <c r="DA36" s="462"/>
      <c r="DB36" s="462"/>
      <c r="DC36" s="462"/>
      <c r="DD36" s="462"/>
      <c r="DE36" s="462"/>
      <c r="DF36" s="462"/>
      <c r="DG36" s="462"/>
      <c r="DH36" s="462"/>
      <c r="DI36" s="462"/>
      <c r="DJ36" s="462"/>
      <c r="DK36" s="462"/>
      <c r="DL36" s="462"/>
      <c r="DM36" s="462"/>
      <c r="DN36" s="462"/>
      <c r="DO36" s="462"/>
      <c r="DP36" s="462"/>
      <c r="DQ36" s="462"/>
      <c r="DR36" s="462"/>
      <c r="DS36" s="462"/>
      <c r="DT36" s="462"/>
      <c r="DU36" s="462"/>
      <c r="DV36" s="462"/>
      <c r="DW36" s="462"/>
      <c r="DX36" s="462"/>
      <c r="DY36" s="462"/>
      <c r="DZ36" s="462"/>
      <c r="EA36" s="462"/>
      <c r="EB36" s="462"/>
      <c r="EC36" s="462"/>
      <c r="ED36" s="462"/>
      <c r="EE36" s="462"/>
      <c r="EF36" s="462"/>
      <c r="EG36" s="462"/>
      <c r="EH36" s="462"/>
      <c r="EI36" s="462"/>
      <c r="EJ36" s="462"/>
      <c r="EK36" s="462"/>
      <c r="EL36" s="462"/>
      <c r="EM36" s="462"/>
      <c r="EN36" s="462"/>
      <c r="EO36" s="462"/>
      <c r="EP36" s="462"/>
      <c r="EQ36" s="462"/>
      <c r="ER36" s="462"/>
      <c r="ES36" s="462"/>
      <c r="ET36" s="462"/>
      <c r="EU36" s="462"/>
      <c r="EV36" s="462"/>
      <c r="EW36" s="462"/>
      <c r="EX36" s="462"/>
      <c r="EY36" s="462"/>
      <c r="EZ36" s="462"/>
      <c r="FA36" s="462"/>
      <c r="FB36" s="462"/>
      <c r="FC36" s="462"/>
      <c r="FD36" s="462"/>
      <c r="FE36" s="462"/>
      <c r="FF36" s="462"/>
      <c r="FG36" s="462"/>
      <c r="FH36" s="462"/>
      <c r="FI36" s="462"/>
      <c r="FJ36" s="462"/>
      <c r="FK36" s="462"/>
      <c r="FL36" s="462"/>
      <c r="FM36" s="462"/>
      <c r="FN36" s="462"/>
      <c r="FO36" s="462"/>
      <c r="FP36" s="462"/>
      <c r="FQ36" s="462"/>
      <c r="FR36" s="462"/>
      <c r="FS36" s="462"/>
      <c r="FT36" s="462"/>
      <c r="FU36" s="462"/>
      <c r="FV36" s="462"/>
      <c r="FW36" s="462"/>
      <c r="FX36" s="462"/>
      <c r="FY36" s="462"/>
      <c r="FZ36" s="462"/>
      <c r="GA36" s="462"/>
      <c r="GB36" s="462"/>
      <c r="GC36" s="462"/>
      <c r="GD36" s="462"/>
      <c r="GE36" s="462"/>
      <c r="GF36" s="462"/>
      <c r="GG36" s="462"/>
      <c r="GH36" s="462"/>
      <c r="GI36" s="462"/>
      <c r="GJ36" s="462"/>
      <c r="GK36" s="462"/>
      <c r="GL36" s="462"/>
      <c r="GM36" s="462"/>
      <c r="GN36" s="462"/>
      <c r="GO36" s="462"/>
      <c r="GP36" s="462"/>
      <c r="GQ36" s="462"/>
      <c r="GR36" s="462"/>
      <c r="GS36" s="462"/>
      <c r="GT36" s="462"/>
      <c r="GU36" s="462"/>
      <c r="GV36" s="462"/>
      <c r="GW36" s="462"/>
      <c r="GX36" s="462"/>
      <c r="GY36" s="462"/>
      <c r="GZ36" s="462"/>
      <c r="HA36" s="462"/>
      <c r="HB36" s="462"/>
      <c r="HC36" s="462"/>
      <c r="HD36" s="462"/>
      <c r="HE36" s="462"/>
      <c r="HF36" s="462"/>
      <c r="HG36" s="462"/>
      <c r="HH36" s="462"/>
      <c r="HI36" s="462"/>
      <c r="HJ36" s="462"/>
      <c r="HK36" s="462"/>
      <c r="HL36" s="462"/>
      <c r="HM36" s="462"/>
      <c r="HN36" s="462"/>
      <c r="HO36" s="462"/>
      <c r="HP36" s="462"/>
      <c r="HQ36" s="462"/>
      <c r="HR36" s="462"/>
      <c r="HS36" s="462"/>
      <c r="HT36" s="462"/>
      <c r="HU36" s="462"/>
      <c r="HV36" s="462"/>
      <c r="HW36" s="462"/>
      <c r="HX36" s="462"/>
      <c r="HY36" s="462"/>
      <c r="HZ36" s="462"/>
      <c r="IA36" s="462"/>
      <c r="IB36" s="462"/>
      <c r="IC36" s="462"/>
      <c r="ID36" s="462"/>
      <c r="IE36" s="462"/>
      <c r="IF36" s="462"/>
      <c r="IG36" s="462"/>
      <c r="IH36" s="462"/>
      <c r="II36" s="462"/>
      <c r="IJ36" s="462"/>
      <c r="IK36" s="462"/>
      <c r="IL36" s="462"/>
      <c r="IM36" s="15"/>
      <c r="IN36" s="15"/>
      <c r="IO36" s="15"/>
      <c r="IP36" s="15"/>
      <c r="IQ36" s="15"/>
      <c r="IR36" s="15"/>
      <c r="IS36" s="15"/>
      <c r="IT36" s="15"/>
    </row>
    <row r="37" spans="1:254" s="205" customFormat="1" ht="12.75" customHeight="1" x14ac:dyDescent="0.15">
      <c r="A37" s="246" t="s">
        <v>162</v>
      </c>
      <c r="B37" s="247" t="str">
        <f>クリーチャー!C12&amp;"+"&amp;クリーチャー!F19</f>
        <v>0+1D6</v>
      </c>
      <c r="C37" s="248" t="s">
        <v>163</v>
      </c>
      <c r="D37" s="249" t="str">
        <f>クリーチャー!C13&amp;"+"&amp;クリーチャー!F19</f>
        <v>0+1D6</v>
      </c>
      <c r="E37" s="250" t="s">
        <v>110</v>
      </c>
      <c r="F37" s="251" t="str">
        <f>クリーチャー!C11&amp;"+"&amp;クリーチャー!F19</f>
        <v>0+1D6</v>
      </c>
      <c r="G37" s="461" t="s">
        <v>236</v>
      </c>
      <c r="H37" s="461"/>
      <c r="I37" s="200" t="s">
        <v>237</v>
      </c>
      <c r="J37" s="201">
        <f>クリーチャー!C10</f>
        <v>0</v>
      </c>
      <c r="K37" s="252"/>
      <c r="L37" s="253"/>
      <c r="M37" s="203" t="s">
        <v>235</v>
      </c>
      <c r="N37" s="204" t="s">
        <v>222</v>
      </c>
      <c r="O37" s="204"/>
      <c r="IL37" s="206"/>
      <c r="IM37" s="15"/>
      <c r="IN37" s="15"/>
      <c r="IO37" s="15"/>
      <c r="IP37" s="15"/>
      <c r="IQ37" s="15"/>
      <c r="IR37" s="15"/>
      <c r="IS37" s="15"/>
      <c r="IT37" s="15"/>
    </row>
    <row r="38" spans="1:254" s="15" customFormat="1" ht="12" customHeight="1" x14ac:dyDescent="0.15">
      <c r="A38" s="254" t="s">
        <v>780</v>
      </c>
      <c r="B38" s="255">
        <f>クリーチャー!C14</f>
        <v>0</v>
      </c>
      <c r="C38" s="256" t="s">
        <v>245</v>
      </c>
      <c r="D38" s="257">
        <f>クリーチャー!C15</f>
        <v>0</v>
      </c>
      <c r="E38" s="258"/>
      <c r="F38" s="258"/>
      <c r="G38" s="256" t="s">
        <v>108</v>
      </c>
      <c r="H38" s="259" t="str">
        <f>クリーチャー!B19&amp;"D6+"&amp;クリーチャー!D19</f>
        <v>5D6+0</v>
      </c>
      <c r="I38" s="256" t="s">
        <v>241</v>
      </c>
      <c r="J38" s="255">
        <f>クリーチャー!C23</f>
        <v>12</v>
      </c>
      <c r="K38" s="256" t="s">
        <v>246</v>
      </c>
      <c r="L38" s="260">
        <f>クリーチャー!F23</f>
        <v>3</v>
      </c>
    </row>
    <row r="65481" ht="12.75" customHeight="1" x14ac:dyDescent="0.15"/>
    <row r="65482" ht="12.75" customHeight="1" x14ac:dyDescent="0.15"/>
    <row r="65483" ht="12.75" customHeight="1" x14ac:dyDescent="0.15"/>
    <row r="65484" ht="12.75" customHeight="1" x14ac:dyDescent="0.15"/>
    <row r="65485" ht="12.75" customHeight="1" x14ac:dyDescent="0.15"/>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751">
    <mergeCell ref="C7:H7"/>
    <mergeCell ref="C8:H15"/>
    <mergeCell ref="M9:M15"/>
    <mergeCell ref="N9:N15"/>
    <mergeCell ref="O9:O15"/>
    <mergeCell ref="P9:P15"/>
    <mergeCell ref="Q9:Q15"/>
    <mergeCell ref="R9:R15"/>
    <mergeCell ref="S9:S15"/>
    <mergeCell ref="T9:T15"/>
    <mergeCell ref="U9:U15"/>
    <mergeCell ref="V9:V15"/>
    <mergeCell ref="W9:W15"/>
    <mergeCell ref="X9:X15"/>
    <mergeCell ref="Y9:Y15"/>
    <mergeCell ref="Z9:Z15"/>
    <mergeCell ref="AA9:AA15"/>
    <mergeCell ref="AB9:AB15"/>
    <mergeCell ref="AC9:AC15"/>
    <mergeCell ref="AD9:AD15"/>
    <mergeCell ref="AE9:AE15"/>
    <mergeCell ref="AF9:AF15"/>
    <mergeCell ref="AG9:AG15"/>
    <mergeCell ref="AH9:AH15"/>
    <mergeCell ref="AI9:AI15"/>
    <mergeCell ref="AJ9:AJ15"/>
    <mergeCell ref="AK9:AK15"/>
    <mergeCell ref="AL9:AL15"/>
    <mergeCell ref="AM9:AM15"/>
    <mergeCell ref="AN9:AN15"/>
    <mergeCell ref="AO9:AO15"/>
    <mergeCell ref="AP9:AP15"/>
    <mergeCell ref="AQ9:AQ15"/>
    <mergeCell ref="AR9:AR15"/>
    <mergeCell ref="AS9:AS15"/>
    <mergeCell ref="AT9:AT15"/>
    <mergeCell ref="AU9:AU15"/>
    <mergeCell ref="AV9:AV15"/>
    <mergeCell ref="AW9:AW15"/>
    <mergeCell ref="AX9:AX15"/>
    <mergeCell ref="AY9:AY15"/>
    <mergeCell ref="AZ9:AZ15"/>
    <mergeCell ref="BA9:BA15"/>
    <mergeCell ref="BB9:BB15"/>
    <mergeCell ref="BC9:BC15"/>
    <mergeCell ref="BD9:BD15"/>
    <mergeCell ref="BE9:BE15"/>
    <mergeCell ref="BF9:BF15"/>
    <mergeCell ref="BG9:BG15"/>
    <mergeCell ref="BH9:BH15"/>
    <mergeCell ref="BI9:BI15"/>
    <mergeCell ref="BJ9:BJ15"/>
    <mergeCell ref="BK9:BK15"/>
    <mergeCell ref="BL9:BL15"/>
    <mergeCell ref="BM9:BM15"/>
    <mergeCell ref="BN9:BN15"/>
    <mergeCell ref="BO9:BO15"/>
    <mergeCell ref="BP9:BP15"/>
    <mergeCell ref="BQ9:BQ15"/>
    <mergeCell ref="BR9:BR15"/>
    <mergeCell ref="BS9:BS15"/>
    <mergeCell ref="BT9:BT15"/>
    <mergeCell ref="BU9:BU15"/>
    <mergeCell ref="BV9:BV15"/>
    <mergeCell ref="BW9:BW15"/>
    <mergeCell ref="BX9:BX15"/>
    <mergeCell ref="BY9:BY15"/>
    <mergeCell ref="BZ9:BZ15"/>
    <mergeCell ref="CA9:CA15"/>
    <mergeCell ref="CB9:CB15"/>
    <mergeCell ref="CC9:CC15"/>
    <mergeCell ref="CD9:CD15"/>
    <mergeCell ref="CE9:CE15"/>
    <mergeCell ref="CF9:CF15"/>
    <mergeCell ref="CG9:CG15"/>
    <mergeCell ref="CH9:CH15"/>
    <mergeCell ref="CI9:CI15"/>
    <mergeCell ref="CJ9:CJ15"/>
    <mergeCell ref="CK9:CK15"/>
    <mergeCell ref="CL9:CL15"/>
    <mergeCell ref="CM9:CM15"/>
    <mergeCell ref="CN9:CN15"/>
    <mergeCell ref="CO9:CO15"/>
    <mergeCell ref="CP9:CP15"/>
    <mergeCell ref="CQ9:CQ15"/>
    <mergeCell ref="CR9:CR15"/>
    <mergeCell ref="CS9:CS15"/>
    <mergeCell ref="CT9:CT15"/>
    <mergeCell ref="CU9:CU15"/>
    <mergeCell ref="CV9:CV15"/>
    <mergeCell ref="CW9:CW15"/>
    <mergeCell ref="CX9:CX15"/>
    <mergeCell ref="CY9:CY15"/>
    <mergeCell ref="CZ9:CZ15"/>
    <mergeCell ref="DA9:DA15"/>
    <mergeCell ref="DB9:DB15"/>
    <mergeCell ref="DC9:DC15"/>
    <mergeCell ref="DD9:DD15"/>
    <mergeCell ref="DE9:DE15"/>
    <mergeCell ref="DF9:DF15"/>
    <mergeCell ref="DG9:DG15"/>
    <mergeCell ref="DH9:DH15"/>
    <mergeCell ref="DI9:DI15"/>
    <mergeCell ref="DJ9:DJ15"/>
    <mergeCell ref="DK9:DK15"/>
    <mergeCell ref="DL9:DL15"/>
    <mergeCell ref="DM9:DM15"/>
    <mergeCell ref="DN9:DN15"/>
    <mergeCell ref="DO9:DO15"/>
    <mergeCell ref="DP9:DP15"/>
    <mergeCell ref="DQ9:DQ15"/>
    <mergeCell ref="DR9:DR15"/>
    <mergeCell ref="DS9:DS15"/>
    <mergeCell ref="DT9:DT15"/>
    <mergeCell ref="DU9:DU15"/>
    <mergeCell ref="DV9:DV15"/>
    <mergeCell ref="DW9:DW15"/>
    <mergeCell ref="DX9:DX15"/>
    <mergeCell ref="DY9:DY15"/>
    <mergeCell ref="DZ9:DZ15"/>
    <mergeCell ref="EA9:EA15"/>
    <mergeCell ref="EB9:EB15"/>
    <mergeCell ref="EC9:EC15"/>
    <mergeCell ref="ED9:ED15"/>
    <mergeCell ref="EE9:EE15"/>
    <mergeCell ref="EF9:EF15"/>
    <mergeCell ref="EG9:EG15"/>
    <mergeCell ref="EH9:EH15"/>
    <mergeCell ref="EI9:EI15"/>
    <mergeCell ref="EJ9:EJ15"/>
    <mergeCell ref="EK9:EK15"/>
    <mergeCell ref="EL9:EL15"/>
    <mergeCell ref="EM9:EM15"/>
    <mergeCell ref="EN9:EN15"/>
    <mergeCell ref="EO9:EO15"/>
    <mergeCell ref="EP9:EP15"/>
    <mergeCell ref="EQ9:EQ15"/>
    <mergeCell ref="ER9:ER15"/>
    <mergeCell ref="ES9:ES15"/>
    <mergeCell ref="ET9:ET15"/>
    <mergeCell ref="EU9:EU15"/>
    <mergeCell ref="EV9:EV15"/>
    <mergeCell ref="EW9:EW15"/>
    <mergeCell ref="EX9:EX15"/>
    <mergeCell ref="EY9:EY15"/>
    <mergeCell ref="EZ9:EZ15"/>
    <mergeCell ref="FA9:FA15"/>
    <mergeCell ref="FB9:FB15"/>
    <mergeCell ref="FC9:FC15"/>
    <mergeCell ref="FD9:FD15"/>
    <mergeCell ref="FE9:FE15"/>
    <mergeCell ref="FF9:FF15"/>
    <mergeCell ref="FG9:FG15"/>
    <mergeCell ref="FH9:FH15"/>
    <mergeCell ref="FI9:FI15"/>
    <mergeCell ref="FJ9:FJ15"/>
    <mergeCell ref="FK9:FK15"/>
    <mergeCell ref="FL9:FL15"/>
    <mergeCell ref="FM9:FM15"/>
    <mergeCell ref="FN9:FN15"/>
    <mergeCell ref="FO9:FO15"/>
    <mergeCell ref="FP9:FP15"/>
    <mergeCell ref="FQ9:FQ15"/>
    <mergeCell ref="FR9:FR15"/>
    <mergeCell ref="FS9:FS15"/>
    <mergeCell ref="FT9:FT15"/>
    <mergeCell ref="FU9:FU15"/>
    <mergeCell ref="FV9:FV15"/>
    <mergeCell ref="FW9:FW15"/>
    <mergeCell ref="FX9:FX15"/>
    <mergeCell ref="FY9:FY15"/>
    <mergeCell ref="FZ9:FZ15"/>
    <mergeCell ref="GA9:GA15"/>
    <mergeCell ref="GB9:GB15"/>
    <mergeCell ref="GC9:GC15"/>
    <mergeCell ref="GD9:GD15"/>
    <mergeCell ref="GE9:GE15"/>
    <mergeCell ref="GF9:GF15"/>
    <mergeCell ref="GG9:GG15"/>
    <mergeCell ref="GH9:GH15"/>
    <mergeCell ref="GI9:GI15"/>
    <mergeCell ref="GJ9:GJ15"/>
    <mergeCell ref="GK9:GK15"/>
    <mergeCell ref="GL9:GL15"/>
    <mergeCell ref="GM9:GM15"/>
    <mergeCell ref="GN9:GN15"/>
    <mergeCell ref="GO9:GO15"/>
    <mergeCell ref="GP9:GP15"/>
    <mergeCell ref="GQ9:GQ15"/>
    <mergeCell ref="GR9:GR15"/>
    <mergeCell ref="GS9:GS15"/>
    <mergeCell ref="GT9:GT15"/>
    <mergeCell ref="GU9:GU15"/>
    <mergeCell ref="GV9:GV15"/>
    <mergeCell ref="GW9:GW15"/>
    <mergeCell ref="GX9:GX15"/>
    <mergeCell ref="GY9:GY15"/>
    <mergeCell ref="GZ9:GZ15"/>
    <mergeCell ref="HA9:HA15"/>
    <mergeCell ref="HB9:HB15"/>
    <mergeCell ref="HC9:HC15"/>
    <mergeCell ref="HD9:HD15"/>
    <mergeCell ref="HE9:HE15"/>
    <mergeCell ref="HF9:HF15"/>
    <mergeCell ref="HG9:HG15"/>
    <mergeCell ref="HH9:HH15"/>
    <mergeCell ref="HI9:HI15"/>
    <mergeCell ref="HJ9:HJ15"/>
    <mergeCell ref="HK9:HK15"/>
    <mergeCell ref="HL9:HL15"/>
    <mergeCell ref="HM9:HM15"/>
    <mergeCell ref="HN9:HN15"/>
    <mergeCell ref="HO9:HO15"/>
    <mergeCell ref="HP9:HP15"/>
    <mergeCell ref="HQ9:HQ15"/>
    <mergeCell ref="HR9:HR15"/>
    <mergeCell ref="HS9:HS15"/>
    <mergeCell ref="HT9:HT15"/>
    <mergeCell ref="HU9:HU15"/>
    <mergeCell ref="HV9:HV15"/>
    <mergeCell ref="HW9:HW15"/>
    <mergeCell ref="HX9:HX15"/>
    <mergeCell ref="HY9:HY15"/>
    <mergeCell ref="HZ9:HZ15"/>
    <mergeCell ref="IA9:IA15"/>
    <mergeCell ref="IB9:IB15"/>
    <mergeCell ref="IC9:IC15"/>
    <mergeCell ref="ID9:ID15"/>
    <mergeCell ref="IE9:IE15"/>
    <mergeCell ref="IF9:IF15"/>
    <mergeCell ref="IG9:IG15"/>
    <mergeCell ref="IH9:IH15"/>
    <mergeCell ref="II9:II15"/>
    <mergeCell ref="IJ9:IJ15"/>
    <mergeCell ref="IK9:IK15"/>
    <mergeCell ref="IL9:IL15"/>
    <mergeCell ref="A17:D17"/>
    <mergeCell ref="E17:F17"/>
    <mergeCell ref="G17:H17"/>
    <mergeCell ref="I17:L17"/>
    <mergeCell ref="M17:M22"/>
    <mergeCell ref="N17:N22"/>
    <mergeCell ref="O17:O22"/>
    <mergeCell ref="P17:P22"/>
    <mergeCell ref="Q17:Q22"/>
    <mergeCell ref="R17:R22"/>
    <mergeCell ref="S17:S22"/>
    <mergeCell ref="T17:T22"/>
    <mergeCell ref="U17:U22"/>
    <mergeCell ref="V17:V22"/>
    <mergeCell ref="W17:W22"/>
    <mergeCell ref="X17:X22"/>
    <mergeCell ref="Y17:Y22"/>
    <mergeCell ref="Z17:Z22"/>
    <mergeCell ref="AA17:AA22"/>
    <mergeCell ref="AB17:AB22"/>
    <mergeCell ref="AC17:AC22"/>
    <mergeCell ref="AD17:AD22"/>
    <mergeCell ref="AE17:AE22"/>
    <mergeCell ref="AF17:AF22"/>
    <mergeCell ref="AG17:AG22"/>
    <mergeCell ref="AH17:AH22"/>
    <mergeCell ref="AI17:AI22"/>
    <mergeCell ref="AJ17:AJ22"/>
    <mergeCell ref="AK17:AK22"/>
    <mergeCell ref="AL17:AL22"/>
    <mergeCell ref="AM17:AM22"/>
    <mergeCell ref="AN17:AN22"/>
    <mergeCell ref="AO17:AO22"/>
    <mergeCell ref="AP17:AP22"/>
    <mergeCell ref="AQ17:AQ22"/>
    <mergeCell ref="AR17:AR22"/>
    <mergeCell ref="AS17:AS22"/>
    <mergeCell ref="AT17:AT22"/>
    <mergeCell ref="AU17:AU22"/>
    <mergeCell ref="AV17:AV22"/>
    <mergeCell ref="AW17:AW22"/>
    <mergeCell ref="AX17:AX22"/>
    <mergeCell ref="AY17:AY22"/>
    <mergeCell ref="AZ17:AZ22"/>
    <mergeCell ref="BA17:BA22"/>
    <mergeCell ref="BB17:BB22"/>
    <mergeCell ref="BC17:BC22"/>
    <mergeCell ref="BD17:BD22"/>
    <mergeCell ref="BE17:BE22"/>
    <mergeCell ref="BF17:BF22"/>
    <mergeCell ref="BG17:BG22"/>
    <mergeCell ref="BH17:BH22"/>
    <mergeCell ref="BI17:BI22"/>
    <mergeCell ref="BJ17:BJ22"/>
    <mergeCell ref="BK17:BK22"/>
    <mergeCell ref="BL17:BL22"/>
    <mergeCell ref="BM17:BM22"/>
    <mergeCell ref="BN17:BN22"/>
    <mergeCell ref="BO17:BO22"/>
    <mergeCell ref="BP17:BP22"/>
    <mergeCell ref="BQ17:BQ22"/>
    <mergeCell ref="BR17:BR22"/>
    <mergeCell ref="BS17:BS22"/>
    <mergeCell ref="BT17:BT22"/>
    <mergeCell ref="BU17:BU22"/>
    <mergeCell ref="BV17:BV22"/>
    <mergeCell ref="BW17:BW22"/>
    <mergeCell ref="BX17:BX22"/>
    <mergeCell ref="BY17:BY22"/>
    <mergeCell ref="BZ17:BZ22"/>
    <mergeCell ref="CA17:CA22"/>
    <mergeCell ref="CB17:CB22"/>
    <mergeCell ref="CC17:CC22"/>
    <mergeCell ref="CD17:CD22"/>
    <mergeCell ref="CE17:CE22"/>
    <mergeCell ref="CF17:CF22"/>
    <mergeCell ref="CG17:CG22"/>
    <mergeCell ref="CH17:CH22"/>
    <mergeCell ref="CI17:CI22"/>
    <mergeCell ref="CJ17:CJ22"/>
    <mergeCell ref="CK17:CK22"/>
    <mergeCell ref="CL17:CL22"/>
    <mergeCell ref="CM17:CM22"/>
    <mergeCell ref="CN17:CN22"/>
    <mergeCell ref="CO17:CO22"/>
    <mergeCell ref="CP17:CP22"/>
    <mergeCell ref="CQ17:CQ22"/>
    <mergeCell ref="CR17:CR22"/>
    <mergeCell ref="CS17:CS22"/>
    <mergeCell ref="CT17:CT22"/>
    <mergeCell ref="CU17:CU22"/>
    <mergeCell ref="CV17:CV22"/>
    <mergeCell ref="CW17:CW22"/>
    <mergeCell ref="CX17:CX22"/>
    <mergeCell ref="CY17:CY22"/>
    <mergeCell ref="CZ17:CZ22"/>
    <mergeCell ref="DA17:DA22"/>
    <mergeCell ref="DB17:DB22"/>
    <mergeCell ref="DC17:DC22"/>
    <mergeCell ref="DD17:DD22"/>
    <mergeCell ref="DE17:DE22"/>
    <mergeCell ref="DF17:DF22"/>
    <mergeCell ref="DG17:DG22"/>
    <mergeCell ref="DH17:DH22"/>
    <mergeCell ref="DI17:DI22"/>
    <mergeCell ref="DJ17:DJ22"/>
    <mergeCell ref="DK17:DK22"/>
    <mergeCell ref="DL17:DL22"/>
    <mergeCell ref="DM17:DM22"/>
    <mergeCell ref="DN17:DN22"/>
    <mergeCell ref="DO17:DO22"/>
    <mergeCell ref="DP17:DP22"/>
    <mergeCell ref="DQ17:DQ22"/>
    <mergeCell ref="DR17:DR22"/>
    <mergeCell ref="DS17:DS22"/>
    <mergeCell ref="DT17:DT22"/>
    <mergeCell ref="DU17:DU22"/>
    <mergeCell ref="DV17:DV22"/>
    <mergeCell ref="DW17:DW22"/>
    <mergeCell ref="DX17:DX22"/>
    <mergeCell ref="DY17:DY22"/>
    <mergeCell ref="DZ17:DZ22"/>
    <mergeCell ref="EA17:EA22"/>
    <mergeCell ref="EB17:EB22"/>
    <mergeCell ref="EC17:EC22"/>
    <mergeCell ref="ED17:ED22"/>
    <mergeCell ref="EE17:EE22"/>
    <mergeCell ref="EF17:EF22"/>
    <mergeCell ref="EG17:EG22"/>
    <mergeCell ref="EH17:EH22"/>
    <mergeCell ref="EI17:EI22"/>
    <mergeCell ref="EJ17:EJ22"/>
    <mergeCell ref="EK17:EK22"/>
    <mergeCell ref="EL17:EL22"/>
    <mergeCell ref="EM17:EM22"/>
    <mergeCell ref="EN17:EN22"/>
    <mergeCell ref="EO17:EO22"/>
    <mergeCell ref="EP17:EP22"/>
    <mergeCell ref="EQ17:EQ22"/>
    <mergeCell ref="ER17:ER22"/>
    <mergeCell ref="ES17:ES22"/>
    <mergeCell ref="ET17:ET22"/>
    <mergeCell ref="EU17:EU22"/>
    <mergeCell ref="EV17:EV22"/>
    <mergeCell ref="EW17:EW22"/>
    <mergeCell ref="EX17:EX22"/>
    <mergeCell ref="EY17:EY22"/>
    <mergeCell ref="EZ17:EZ22"/>
    <mergeCell ref="FA17:FA22"/>
    <mergeCell ref="FB17:FB22"/>
    <mergeCell ref="FC17:FC22"/>
    <mergeCell ref="FD17:FD22"/>
    <mergeCell ref="FE17:FE22"/>
    <mergeCell ref="FF17:FF22"/>
    <mergeCell ref="FG17:FG22"/>
    <mergeCell ref="FH17:FH22"/>
    <mergeCell ref="FI17:FI22"/>
    <mergeCell ref="FJ17:FJ22"/>
    <mergeCell ref="FK17:FK22"/>
    <mergeCell ref="FL17:FL22"/>
    <mergeCell ref="FM17:FM22"/>
    <mergeCell ref="FN17:FN22"/>
    <mergeCell ref="FO17:FO22"/>
    <mergeCell ref="FP17:FP22"/>
    <mergeCell ref="FQ17:FQ22"/>
    <mergeCell ref="FR17:FR22"/>
    <mergeCell ref="FS17:FS22"/>
    <mergeCell ref="FT17:FT22"/>
    <mergeCell ref="FU17:FU22"/>
    <mergeCell ref="FV17:FV22"/>
    <mergeCell ref="FW17:FW22"/>
    <mergeCell ref="FX17:FX22"/>
    <mergeCell ref="FY17:FY22"/>
    <mergeCell ref="FZ17:FZ22"/>
    <mergeCell ref="GA17:GA22"/>
    <mergeCell ref="GB17:GB22"/>
    <mergeCell ref="GC17:GC22"/>
    <mergeCell ref="GD17:GD22"/>
    <mergeCell ref="GE17:GE22"/>
    <mergeCell ref="GF17:GF22"/>
    <mergeCell ref="GG17:GG22"/>
    <mergeCell ref="GH17:GH22"/>
    <mergeCell ref="GI17:GI22"/>
    <mergeCell ref="GJ17:GJ22"/>
    <mergeCell ref="GK17:GK22"/>
    <mergeCell ref="GL17:GL22"/>
    <mergeCell ref="GM17:GM22"/>
    <mergeCell ref="GN17:GN22"/>
    <mergeCell ref="GO17:GO22"/>
    <mergeCell ref="GP17:GP22"/>
    <mergeCell ref="GQ17:GQ22"/>
    <mergeCell ref="GR17:GR22"/>
    <mergeCell ref="GS17:GS22"/>
    <mergeCell ref="GT17:GT22"/>
    <mergeCell ref="GU17:GU22"/>
    <mergeCell ref="GV17:GV22"/>
    <mergeCell ref="GW17:GW22"/>
    <mergeCell ref="GX17:GX22"/>
    <mergeCell ref="GY17:GY22"/>
    <mergeCell ref="GZ17:GZ22"/>
    <mergeCell ref="HA17:HA22"/>
    <mergeCell ref="HB17:HB22"/>
    <mergeCell ref="HC17:HC22"/>
    <mergeCell ref="HD17:HD22"/>
    <mergeCell ref="HE17:HE22"/>
    <mergeCell ref="HF17:HF22"/>
    <mergeCell ref="HG17:HG22"/>
    <mergeCell ref="HH17:HH22"/>
    <mergeCell ref="HI17:HI22"/>
    <mergeCell ref="HJ17:HJ22"/>
    <mergeCell ref="HK17:HK22"/>
    <mergeCell ref="HL17:HL22"/>
    <mergeCell ref="HM17:HM22"/>
    <mergeCell ref="HN17:HN22"/>
    <mergeCell ref="HO17:HO22"/>
    <mergeCell ref="HP17:HP22"/>
    <mergeCell ref="HQ17:HQ22"/>
    <mergeCell ref="HR17:HR22"/>
    <mergeCell ref="HS17:HS22"/>
    <mergeCell ref="HT17:HT22"/>
    <mergeCell ref="HU17:HU22"/>
    <mergeCell ref="HV17:HV22"/>
    <mergeCell ref="HW17:HW22"/>
    <mergeCell ref="HX17:HX22"/>
    <mergeCell ref="HY17:HY22"/>
    <mergeCell ref="HZ17:HZ22"/>
    <mergeCell ref="IA17:IA22"/>
    <mergeCell ref="IB17:IB22"/>
    <mergeCell ref="IC17:IC22"/>
    <mergeCell ref="ID17:ID22"/>
    <mergeCell ref="IE17:IE22"/>
    <mergeCell ref="IF17:IF22"/>
    <mergeCell ref="IG17:IG22"/>
    <mergeCell ref="IH17:IH22"/>
    <mergeCell ref="II17:II22"/>
    <mergeCell ref="IJ17:IJ22"/>
    <mergeCell ref="IK17:IK22"/>
    <mergeCell ref="IL17:IL22"/>
    <mergeCell ref="A18:D18"/>
    <mergeCell ref="E18:F18"/>
    <mergeCell ref="G18:H18"/>
    <mergeCell ref="I18:J18"/>
    <mergeCell ref="K18:L18"/>
    <mergeCell ref="A19:B19"/>
    <mergeCell ref="C19:D19"/>
    <mergeCell ref="E19:F19"/>
    <mergeCell ref="G19:H19"/>
    <mergeCell ref="I19:J19"/>
    <mergeCell ref="K19:L19"/>
    <mergeCell ref="G20:H20"/>
    <mergeCell ref="I20:J20"/>
    <mergeCell ref="K20:L20"/>
    <mergeCell ref="A21:A22"/>
    <mergeCell ref="B21:B22"/>
    <mergeCell ref="E21:F21"/>
    <mergeCell ref="G21:H21"/>
    <mergeCell ref="I21:J21"/>
    <mergeCell ref="K21:L21"/>
    <mergeCell ref="E22:F22"/>
    <mergeCell ref="G22:H22"/>
    <mergeCell ref="I22:J22"/>
    <mergeCell ref="K22:L22"/>
    <mergeCell ref="C23:C25"/>
    <mergeCell ref="F23:F25"/>
    <mergeCell ref="G23:H23"/>
    <mergeCell ref="G24:H24"/>
    <mergeCell ref="G25:H25"/>
    <mergeCell ref="C26:C27"/>
    <mergeCell ref="G26:H26"/>
    <mergeCell ref="G27:H27"/>
    <mergeCell ref="A31:D31"/>
    <mergeCell ref="E31:F31"/>
    <mergeCell ref="G31:L31"/>
    <mergeCell ref="M31:M36"/>
    <mergeCell ref="N31:N36"/>
    <mergeCell ref="O31:O36"/>
    <mergeCell ref="F35:F36"/>
    <mergeCell ref="P31:P36"/>
    <mergeCell ref="Q31:Q36"/>
    <mergeCell ref="R31:R36"/>
    <mergeCell ref="S31:S36"/>
    <mergeCell ref="T31:T36"/>
    <mergeCell ref="U31:U36"/>
    <mergeCell ref="V31:V36"/>
    <mergeCell ref="W31:W36"/>
    <mergeCell ref="X31:X36"/>
    <mergeCell ref="Y31:Y36"/>
    <mergeCell ref="Z31:Z36"/>
    <mergeCell ref="AA31:AA36"/>
    <mergeCell ref="AB31:AB36"/>
    <mergeCell ref="AC31:AC36"/>
    <mergeCell ref="AD31:AD36"/>
    <mergeCell ref="AE31:AE36"/>
    <mergeCell ref="AF31:AF36"/>
    <mergeCell ref="AG31:AG36"/>
    <mergeCell ref="AH31:AH36"/>
    <mergeCell ref="AI31:AI36"/>
    <mergeCell ref="AJ31:AJ36"/>
    <mergeCell ref="AK31:AK36"/>
    <mergeCell ref="AL31:AL36"/>
    <mergeCell ref="AM31:AM36"/>
    <mergeCell ref="AN31:AN36"/>
    <mergeCell ref="AO31:AO36"/>
    <mergeCell ref="AP31:AP36"/>
    <mergeCell ref="AQ31:AQ36"/>
    <mergeCell ref="AR31:AR36"/>
    <mergeCell ref="AS31:AS36"/>
    <mergeCell ref="AT31:AT36"/>
    <mergeCell ref="AU31:AU36"/>
    <mergeCell ref="AV31:AV36"/>
    <mergeCell ref="AW31:AW36"/>
    <mergeCell ref="AX31:AX36"/>
    <mergeCell ref="AY31:AY36"/>
    <mergeCell ref="AZ31:AZ36"/>
    <mergeCell ref="BA31:BA36"/>
    <mergeCell ref="BB31:BB36"/>
    <mergeCell ref="BC31:BC36"/>
    <mergeCell ref="BD31:BD36"/>
    <mergeCell ref="BE31:BE36"/>
    <mergeCell ref="BF31:BF36"/>
    <mergeCell ref="BG31:BG36"/>
    <mergeCell ref="BH31:BH36"/>
    <mergeCell ref="BI31:BI36"/>
    <mergeCell ref="BJ31:BJ36"/>
    <mergeCell ref="BK31:BK36"/>
    <mergeCell ref="BL31:BL36"/>
    <mergeCell ref="BM31:BM36"/>
    <mergeCell ref="BN31:BN36"/>
    <mergeCell ref="BO31:BO36"/>
    <mergeCell ref="BP31:BP36"/>
    <mergeCell ref="BQ31:BQ36"/>
    <mergeCell ref="BR31:BR36"/>
    <mergeCell ref="BS31:BS36"/>
    <mergeCell ref="BT31:BT36"/>
    <mergeCell ref="BU31:BU36"/>
    <mergeCell ref="BV31:BV36"/>
    <mergeCell ref="BW31:BW36"/>
    <mergeCell ref="BX31:BX36"/>
    <mergeCell ref="BY31:BY36"/>
    <mergeCell ref="BZ31:BZ36"/>
    <mergeCell ref="CA31:CA36"/>
    <mergeCell ref="CB31:CB36"/>
    <mergeCell ref="CC31:CC36"/>
    <mergeCell ref="CD31:CD36"/>
    <mergeCell ref="CE31:CE36"/>
    <mergeCell ref="CF31:CF36"/>
    <mergeCell ref="CG31:CG36"/>
    <mergeCell ref="CH31:CH36"/>
    <mergeCell ref="CI31:CI36"/>
    <mergeCell ref="CJ31:CJ36"/>
    <mergeCell ref="CK31:CK36"/>
    <mergeCell ref="CL31:CL36"/>
    <mergeCell ref="CM31:CM36"/>
    <mergeCell ref="CN31:CN36"/>
    <mergeCell ref="CO31:CO36"/>
    <mergeCell ref="CP31:CP36"/>
    <mergeCell ref="CQ31:CQ36"/>
    <mergeCell ref="CR31:CR36"/>
    <mergeCell ref="CS31:CS36"/>
    <mergeCell ref="CT31:CT36"/>
    <mergeCell ref="CU31:CU36"/>
    <mergeCell ref="CV31:CV36"/>
    <mergeCell ref="CW31:CW36"/>
    <mergeCell ref="CX31:CX36"/>
    <mergeCell ref="CY31:CY36"/>
    <mergeCell ref="CZ31:CZ36"/>
    <mergeCell ref="DA31:DA36"/>
    <mergeCell ref="DB31:DB36"/>
    <mergeCell ref="DC31:DC36"/>
    <mergeCell ref="DD31:DD36"/>
    <mergeCell ref="DE31:DE36"/>
    <mergeCell ref="DF31:DF36"/>
    <mergeCell ref="DG31:DG36"/>
    <mergeCell ref="DH31:DH36"/>
    <mergeCell ref="DI31:DI36"/>
    <mergeCell ref="DJ31:DJ36"/>
    <mergeCell ref="DK31:DK36"/>
    <mergeCell ref="DL31:DL36"/>
    <mergeCell ref="DM31:DM36"/>
    <mergeCell ref="DN31:DN36"/>
    <mergeCell ref="DO31:DO36"/>
    <mergeCell ref="DP31:DP36"/>
    <mergeCell ref="DQ31:DQ36"/>
    <mergeCell ref="DR31:DR36"/>
    <mergeCell ref="DS31:DS36"/>
    <mergeCell ref="DT31:DT36"/>
    <mergeCell ref="DU31:DU36"/>
    <mergeCell ref="DV31:DV36"/>
    <mergeCell ref="DW31:DW36"/>
    <mergeCell ref="DX31:DX36"/>
    <mergeCell ref="DY31:DY36"/>
    <mergeCell ref="DZ31:DZ36"/>
    <mergeCell ref="EA31:EA36"/>
    <mergeCell ref="EB31:EB36"/>
    <mergeCell ref="EC31:EC36"/>
    <mergeCell ref="ED31:ED36"/>
    <mergeCell ref="EE31:EE36"/>
    <mergeCell ref="EF31:EF36"/>
    <mergeCell ref="EG31:EG36"/>
    <mergeCell ref="EH31:EH36"/>
    <mergeCell ref="EI31:EI36"/>
    <mergeCell ref="EJ31:EJ36"/>
    <mergeCell ref="EK31:EK36"/>
    <mergeCell ref="EL31:EL36"/>
    <mergeCell ref="EM31:EM36"/>
    <mergeCell ref="EN31:EN36"/>
    <mergeCell ref="EO31:EO36"/>
    <mergeCell ref="EP31:EP36"/>
    <mergeCell ref="EQ31:EQ36"/>
    <mergeCell ref="ER31:ER36"/>
    <mergeCell ref="ES31:ES36"/>
    <mergeCell ref="ET31:ET36"/>
    <mergeCell ref="EU31:EU36"/>
    <mergeCell ref="EV31:EV36"/>
    <mergeCell ref="EW31:EW36"/>
    <mergeCell ref="EX31:EX36"/>
    <mergeCell ref="EY31:EY36"/>
    <mergeCell ref="EZ31:EZ36"/>
    <mergeCell ref="FA31:FA36"/>
    <mergeCell ref="FB31:FB36"/>
    <mergeCell ref="FC31:FC36"/>
    <mergeCell ref="FD31:FD36"/>
    <mergeCell ref="FE31:FE36"/>
    <mergeCell ref="FF31:FF36"/>
    <mergeCell ref="FG31:FG36"/>
    <mergeCell ref="FH31:FH36"/>
    <mergeCell ref="FI31:FI36"/>
    <mergeCell ref="FJ31:FJ36"/>
    <mergeCell ref="FK31:FK36"/>
    <mergeCell ref="FL31:FL36"/>
    <mergeCell ref="FM31:FM36"/>
    <mergeCell ref="FN31:FN36"/>
    <mergeCell ref="FO31:FO36"/>
    <mergeCell ref="FP31:FP36"/>
    <mergeCell ref="FQ31:FQ36"/>
    <mergeCell ref="FR31:FR36"/>
    <mergeCell ref="FS31:FS36"/>
    <mergeCell ref="FT31:FT36"/>
    <mergeCell ref="FU31:FU36"/>
    <mergeCell ref="FV31:FV36"/>
    <mergeCell ref="FW31:FW36"/>
    <mergeCell ref="FX31:FX36"/>
    <mergeCell ref="FY31:FY36"/>
    <mergeCell ref="FZ31:FZ36"/>
    <mergeCell ref="GA31:GA36"/>
    <mergeCell ref="GB31:GB36"/>
    <mergeCell ref="GC31:GC36"/>
    <mergeCell ref="GD31:GD36"/>
    <mergeCell ref="GE31:GE36"/>
    <mergeCell ref="GF31:GF36"/>
    <mergeCell ref="GG31:GG36"/>
    <mergeCell ref="GH31:GH36"/>
    <mergeCell ref="GI31:GI36"/>
    <mergeCell ref="GJ31:GJ36"/>
    <mergeCell ref="GK31:GK36"/>
    <mergeCell ref="GL31:GL36"/>
    <mergeCell ref="GM31:GM36"/>
    <mergeCell ref="GN31:GN36"/>
    <mergeCell ref="GO31:GO36"/>
    <mergeCell ref="GP31:GP36"/>
    <mergeCell ref="GQ31:GQ36"/>
    <mergeCell ref="GR31:GR36"/>
    <mergeCell ref="GS31:GS36"/>
    <mergeCell ref="GT31:GT36"/>
    <mergeCell ref="GU31:GU36"/>
    <mergeCell ref="GV31:GV36"/>
    <mergeCell ref="GW31:GW36"/>
    <mergeCell ref="GX31:GX36"/>
    <mergeCell ref="GY31:GY36"/>
    <mergeCell ref="GZ31:GZ36"/>
    <mergeCell ref="HA31:HA36"/>
    <mergeCell ref="HB31:HB36"/>
    <mergeCell ref="HC31:HC36"/>
    <mergeCell ref="HD31:HD36"/>
    <mergeCell ref="HE31:HE36"/>
    <mergeCell ref="HF31:HF36"/>
    <mergeCell ref="HG31:HG36"/>
    <mergeCell ref="HH31:HH36"/>
    <mergeCell ref="HI31:HI36"/>
    <mergeCell ref="HJ31:HJ36"/>
    <mergeCell ref="ID31:ID36"/>
    <mergeCell ref="IE31:IE36"/>
    <mergeCell ref="IF31:IF36"/>
    <mergeCell ref="IG31:IG36"/>
    <mergeCell ref="IH31:IH36"/>
    <mergeCell ref="HR31:HR36"/>
    <mergeCell ref="HS31:HS36"/>
    <mergeCell ref="HT31:HT36"/>
    <mergeCell ref="HU31:HU36"/>
    <mergeCell ref="HV31:HV36"/>
    <mergeCell ref="HW31:HW36"/>
    <mergeCell ref="G37:H37"/>
    <mergeCell ref="IJ31:IJ36"/>
    <mergeCell ref="IK31:IK36"/>
    <mergeCell ref="IL31:IL36"/>
    <mergeCell ref="A32:D34"/>
    <mergeCell ref="E32:F34"/>
    <mergeCell ref="A35:B35"/>
    <mergeCell ref="C35:C36"/>
    <mergeCell ref="D35:D36"/>
    <mergeCell ref="E35:E36"/>
    <mergeCell ref="HK31:HK36"/>
    <mergeCell ref="HL31:HL36"/>
    <mergeCell ref="HM31:HM36"/>
    <mergeCell ref="HN31:HN36"/>
    <mergeCell ref="HO31:HO36"/>
    <mergeCell ref="HP31:HP36"/>
    <mergeCell ref="HQ31:HQ36"/>
    <mergeCell ref="II31:II36"/>
    <mergeCell ref="HX31:HX36"/>
    <mergeCell ref="HY31:HY36"/>
    <mergeCell ref="HZ31:HZ36"/>
    <mergeCell ref="IA31:IA36"/>
    <mergeCell ref="IB31:IB36"/>
    <mergeCell ref="IC31:IC36"/>
  </mergeCells>
  <phoneticPr fontId="53"/>
  <dataValidations count="3">
    <dataValidation operator="equal" allowBlank="1" sqref="C23 F23 C26 F27" xr:uid="{00000000-0002-0000-0400-000000000000}"/>
    <dataValidation type="list" operator="equal" allowBlank="1" showErrorMessage="1" sqref="I18:L18" xr:uid="{00000000-0002-0000-0400-000002000000}">
      <formula1>"-,混乱,制止,継続,操作,目標操作,複製,火炎放射器,ワイヤートラップ,スタンガン"</formula1>
      <formula2>0</formula2>
    </dataValidation>
    <dataValidation type="list" operator="equal" allowBlank="1" sqref="H22" xr:uid="{00000000-0002-0000-0400-000004000000}">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2">
        <x14:dataValidation type="list" operator="equal" allowBlank="1" xr:uid="{00000000-0002-0000-0400-000003000000}">
          <x14:formula1>
            <xm:f>リスト!$K$2:$K$33</xm:f>
          </x14:formula1>
          <x14:formula2>
            <xm:f>0</xm:f>
          </x14:formula2>
          <xm:sqref>H20</xm:sqref>
        </x14:dataValidation>
        <x14:dataValidation type="list" operator="equal" showErrorMessage="1" xr:uid="{00000000-0002-0000-0400-000005000000}">
          <x14:formula1>
            <xm:f>リスト!$A$13:$A$23</xm:f>
          </x14:formula1>
          <x14:formula2>
            <xm:f>0</xm:f>
          </x14:formula2>
          <xm:sqref>I20:L20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2"/>
  <sheetViews>
    <sheetView topLeftCell="A4" workbookViewId="0">
      <selection activeCell="C39" sqref="C39"/>
    </sheetView>
  </sheetViews>
  <sheetFormatPr defaultRowHeight="12" x14ac:dyDescent="0.15"/>
  <cols>
    <col min="1" max="1" width="13.33203125" customWidth="1"/>
    <col min="2" max="2" width="5.6640625" customWidth="1"/>
    <col min="3" max="256" width="13.33203125" customWidth="1"/>
  </cols>
  <sheetData>
    <row r="1" spans="1:10" x14ac:dyDescent="0.15">
      <c r="A1" s="261"/>
      <c r="B1" s="261"/>
      <c r="C1" s="261"/>
      <c r="D1" s="261"/>
      <c r="E1" s="261"/>
      <c r="F1" s="261"/>
      <c r="G1" s="261"/>
      <c r="H1" s="261"/>
      <c r="I1" s="261"/>
      <c r="J1" s="262"/>
    </row>
    <row r="2" spans="1:10" x14ac:dyDescent="0.15">
      <c r="A2" s="261"/>
      <c r="B2" s="263" t="s">
        <v>252</v>
      </c>
      <c r="C2" s="261"/>
      <c r="D2" s="261"/>
      <c r="E2" s="261"/>
      <c r="F2" s="261"/>
      <c r="G2" s="261"/>
      <c r="H2" s="261"/>
      <c r="I2" s="261"/>
      <c r="J2" s="262"/>
    </row>
    <row r="3" spans="1:10" x14ac:dyDescent="0.15">
      <c r="A3" s="261"/>
      <c r="B3" s="264" t="s">
        <v>253</v>
      </c>
      <c r="C3" s="261"/>
      <c r="D3" s="261"/>
      <c r="E3" s="261"/>
      <c r="F3" s="261"/>
      <c r="G3" s="261"/>
      <c r="H3" s="261"/>
      <c r="I3" s="261"/>
      <c r="J3" s="262"/>
    </row>
    <row r="4" spans="1:10" x14ac:dyDescent="0.15">
      <c r="A4" s="261"/>
      <c r="B4" s="264" t="s">
        <v>254</v>
      </c>
      <c r="C4" s="261"/>
      <c r="D4" s="261"/>
      <c r="E4" s="261"/>
      <c r="F4" s="261"/>
      <c r="G4" s="261"/>
      <c r="H4" s="261"/>
      <c r="I4" s="261"/>
      <c r="J4" s="262"/>
    </row>
    <row r="5" spans="1:10" x14ac:dyDescent="0.15">
      <c r="A5" s="261"/>
      <c r="B5" s="264" t="s">
        <v>255</v>
      </c>
      <c r="C5" s="261"/>
      <c r="D5" s="261"/>
      <c r="E5" s="261"/>
      <c r="F5" s="261"/>
      <c r="G5" s="261"/>
      <c r="H5" s="261"/>
      <c r="I5" s="261"/>
      <c r="J5" s="262"/>
    </row>
    <row r="6" spans="1:10" x14ac:dyDescent="0.15">
      <c r="A6" s="261"/>
      <c r="B6" s="264" t="s">
        <v>256</v>
      </c>
      <c r="C6" s="261"/>
      <c r="D6" s="261"/>
      <c r="E6" s="261"/>
      <c r="F6" s="261"/>
      <c r="G6" s="261"/>
      <c r="H6" s="261"/>
      <c r="I6" s="261"/>
      <c r="J6" s="262"/>
    </row>
    <row r="7" spans="1:10" x14ac:dyDescent="0.15">
      <c r="A7" s="261"/>
      <c r="B7" s="264"/>
      <c r="C7" s="261"/>
      <c r="D7" s="261"/>
      <c r="E7" s="261"/>
      <c r="F7" s="261"/>
      <c r="G7" s="261"/>
      <c r="H7" s="261"/>
      <c r="I7" s="261"/>
      <c r="J7" s="262"/>
    </row>
    <row r="8" spans="1:10" x14ac:dyDescent="0.15">
      <c r="A8" s="261"/>
      <c r="B8" s="263"/>
      <c r="C8" s="261"/>
      <c r="D8" s="261"/>
      <c r="E8" s="261"/>
      <c r="F8" s="261"/>
      <c r="G8" s="261"/>
      <c r="H8" s="261"/>
      <c r="I8" s="261"/>
      <c r="J8" s="262"/>
    </row>
    <row r="9" spans="1:10" x14ac:dyDescent="0.15">
      <c r="A9" s="261"/>
      <c r="B9" s="261" t="s">
        <v>257</v>
      </c>
      <c r="C9" s="261"/>
      <c r="D9" s="261"/>
      <c r="E9" s="261"/>
      <c r="F9" s="261"/>
      <c r="G9" s="261"/>
      <c r="H9" s="261"/>
      <c r="I9" s="261"/>
      <c r="J9" s="262"/>
    </row>
    <row r="10" spans="1:10" x14ac:dyDescent="0.15">
      <c r="A10" s="261"/>
      <c r="B10" s="261"/>
      <c r="C10" s="261" t="s">
        <v>25</v>
      </c>
      <c r="D10" s="261"/>
      <c r="E10" s="261"/>
      <c r="F10" s="261"/>
      <c r="G10" s="261"/>
      <c r="H10" s="261"/>
      <c r="I10" s="261"/>
      <c r="J10" s="262"/>
    </row>
    <row r="11" spans="1:10" x14ac:dyDescent="0.15">
      <c r="A11" s="261"/>
      <c r="B11" s="261" t="s">
        <v>258</v>
      </c>
      <c r="C11" s="261"/>
      <c r="D11" s="261"/>
      <c r="E11" s="261"/>
      <c r="F11" s="261"/>
      <c r="G11" s="261"/>
      <c r="H11" s="261"/>
      <c r="I11" s="261"/>
      <c r="J11" s="262"/>
    </row>
    <row r="12" spans="1:10" x14ac:dyDescent="0.15">
      <c r="A12" s="261"/>
      <c r="B12" s="261"/>
      <c r="C12" s="261" t="s">
        <v>26</v>
      </c>
      <c r="D12" s="261"/>
      <c r="E12" s="261"/>
      <c r="F12" s="261"/>
      <c r="G12" s="261"/>
      <c r="H12" s="261"/>
      <c r="I12" s="261"/>
      <c r="J12" s="262"/>
    </row>
    <row r="13" spans="1:10" x14ac:dyDescent="0.15">
      <c r="A13" s="261"/>
      <c r="B13" s="261" t="s">
        <v>37</v>
      </c>
      <c r="C13" s="261"/>
      <c r="D13" s="261"/>
      <c r="E13" s="261"/>
      <c r="F13" s="261"/>
      <c r="G13" s="261"/>
      <c r="H13" s="261"/>
      <c r="I13" s="261"/>
      <c r="J13" s="262"/>
    </row>
    <row r="14" spans="1:10" x14ac:dyDescent="0.15">
      <c r="A14" s="261"/>
      <c r="B14" s="261"/>
      <c r="C14" s="261" t="s">
        <v>13</v>
      </c>
      <c r="D14" s="261"/>
      <c r="E14" s="261"/>
      <c r="F14" s="261"/>
      <c r="G14" s="261"/>
      <c r="H14" s="261"/>
      <c r="I14" s="261"/>
      <c r="J14" s="262"/>
    </row>
    <row r="15" spans="1:10" x14ac:dyDescent="0.15">
      <c r="A15" s="261"/>
      <c r="B15" s="261" t="s">
        <v>38</v>
      </c>
      <c r="C15" s="261"/>
      <c r="D15" s="261"/>
      <c r="E15" s="261"/>
      <c r="F15" s="261"/>
      <c r="G15" s="261"/>
      <c r="H15" s="261"/>
      <c r="I15" s="261"/>
      <c r="J15" s="262"/>
    </row>
    <row r="16" spans="1:10" x14ac:dyDescent="0.15">
      <c r="A16" s="261"/>
      <c r="B16" s="261"/>
      <c r="C16" s="261" t="s">
        <v>14</v>
      </c>
      <c r="D16" s="261"/>
      <c r="E16" s="261"/>
      <c r="F16" s="261"/>
      <c r="G16" s="261"/>
      <c r="H16" s="261"/>
      <c r="I16" s="261"/>
      <c r="J16" s="262"/>
    </row>
    <row r="17" spans="1:10" x14ac:dyDescent="0.15">
      <c r="A17" s="261"/>
      <c r="B17" s="261" t="s">
        <v>39</v>
      </c>
      <c r="C17" s="261"/>
      <c r="D17" s="261"/>
      <c r="E17" s="261"/>
      <c r="F17" s="261"/>
      <c r="G17" s="261"/>
      <c r="H17" s="261"/>
      <c r="I17" s="261"/>
      <c r="J17" s="262"/>
    </row>
    <row r="18" spans="1:10" x14ac:dyDescent="0.15">
      <c r="A18" s="261"/>
      <c r="B18" s="261"/>
      <c r="C18" s="261" t="s">
        <v>15</v>
      </c>
      <c r="D18" s="261"/>
      <c r="E18" s="261"/>
      <c r="F18" s="261"/>
      <c r="G18" s="261"/>
      <c r="H18" s="261"/>
      <c r="I18" s="261"/>
      <c r="J18" s="262"/>
    </row>
    <row r="19" spans="1:10" x14ac:dyDescent="0.15">
      <c r="A19" s="261"/>
      <c r="B19" s="261"/>
      <c r="C19" s="261"/>
      <c r="D19" s="261"/>
      <c r="E19" s="261"/>
      <c r="F19" s="261"/>
      <c r="G19" s="261"/>
      <c r="H19" s="261"/>
      <c r="I19" s="261"/>
      <c r="J19" s="262"/>
    </row>
    <row r="20" spans="1:10" x14ac:dyDescent="0.15">
      <c r="A20" s="261"/>
      <c r="B20" s="261" t="s">
        <v>40</v>
      </c>
      <c r="C20" s="261"/>
      <c r="D20" s="261"/>
      <c r="E20" s="261"/>
      <c r="F20" s="261"/>
      <c r="G20" s="261"/>
      <c r="H20" s="261"/>
      <c r="I20" s="261"/>
      <c r="J20" s="262"/>
    </row>
    <row r="21" spans="1:10" x14ac:dyDescent="0.15">
      <c r="A21" s="261"/>
      <c r="B21" s="261"/>
      <c r="C21" s="261" t="s">
        <v>16</v>
      </c>
      <c r="D21" s="261"/>
      <c r="E21" s="261"/>
      <c r="F21" s="261"/>
      <c r="G21" s="261"/>
      <c r="H21" s="261"/>
      <c r="I21" s="261"/>
      <c r="J21" s="262"/>
    </row>
    <row r="22" spans="1:10" x14ac:dyDescent="0.15">
      <c r="A22" s="261"/>
      <c r="B22" s="261" t="s">
        <v>41</v>
      </c>
      <c r="C22" s="261"/>
      <c r="D22" s="261"/>
      <c r="E22" s="261"/>
      <c r="F22" s="261"/>
      <c r="G22" s="261"/>
      <c r="H22" s="261"/>
      <c r="I22" s="261"/>
      <c r="J22" s="262"/>
    </row>
    <row r="23" spans="1:10" x14ac:dyDescent="0.15">
      <c r="A23" s="261"/>
      <c r="B23" s="261"/>
      <c r="C23" s="261" t="s">
        <v>17</v>
      </c>
      <c r="D23" s="261"/>
      <c r="E23" s="261"/>
      <c r="F23" s="261"/>
      <c r="G23" s="261"/>
      <c r="H23" s="261"/>
      <c r="I23" s="261"/>
      <c r="J23" s="262"/>
    </row>
    <row r="24" spans="1:10" x14ac:dyDescent="0.15">
      <c r="A24" s="261"/>
      <c r="B24" s="261" t="s">
        <v>42</v>
      </c>
      <c r="C24" s="261"/>
      <c r="D24" s="261"/>
      <c r="E24" s="261"/>
      <c r="F24" s="261"/>
      <c r="G24" s="261"/>
      <c r="H24" s="261"/>
      <c r="I24" s="261"/>
      <c r="J24" s="262"/>
    </row>
    <row r="25" spans="1:10" x14ac:dyDescent="0.15">
      <c r="A25" s="261"/>
      <c r="B25" s="261"/>
      <c r="C25" s="261" t="s">
        <v>18</v>
      </c>
      <c r="D25" s="261"/>
      <c r="E25" s="261"/>
      <c r="F25" s="261"/>
      <c r="G25" s="261"/>
      <c r="H25" s="261"/>
      <c r="I25" s="261"/>
      <c r="J25" s="262"/>
    </row>
    <row r="26" spans="1:10" x14ac:dyDescent="0.15">
      <c r="A26" s="261"/>
      <c r="B26" s="261" t="s">
        <v>43</v>
      </c>
      <c r="C26" s="261"/>
      <c r="D26" s="261"/>
      <c r="E26" s="261"/>
      <c r="F26" s="261"/>
      <c r="G26" s="261"/>
      <c r="H26" s="261"/>
      <c r="I26" s="261"/>
      <c r="J26" s="262"/>
    </row>
    <row r="27" spans="1:10" x14ac:dyDescent="0.15">
      <c r="A27" s="261"/>
      <c r="B27" s="261"/>
      <c r="C27" s="261" t="s">
        <v>9</v>
      </c>
      <c r="D27" s="261"/>
      <c r="E27" s="261"/>
      <c r="F27" s="261"/>
      <c r="G27" s="261"/>
      <c r="H27" s="261"/>
      <c r="I27" s="261"/>
      <c r="J27" s="262"/>
    </row>
    <row r="28" spans="1:10" x14ac:dyDescent="0.15">
      <c r="A28" s="261"/>
      <c r="B28" s="261" t="s">
        <v>44</v>
      </c>
      <c r="C28" s="261"/>
      <c r="D28" s="261"/>
      <c r="E28" s="261"/>
      <c r="F28" s="261"/>
      <c r="G28" s="261"/>
      <c r="H28" s="261"/>
      <c r="I28" s="261"/>
      <c r="J28" s="262"/>
    </row>
    <row r="29" spans="1:10" x14ac:dyDescent="0.15">
      <c r="A29" s="261"/>
      <c r="B29" s="261"/>
      <c r="C29" s="261" t="s">
        <v>20</v>
      </c>
      <c r="D29" s="261"/>
      <c r="E29" s="261"/>
      <c r="F29" s="261"/>
      <c r="G29" s="261"/>
      <c r="H29" s="261"/>
      <c r="I29" s="261"/>
      <c r="J29" s="262"/>
    </row>
    <row r="30" spans="1:10" x14ac:dyDescent="0.15">
      <c r="A30" s="261"/>
      <c r="B30" s="261"/>
      <c r="C30" s="261" t="s">
        <v>21</v>
      </c>
      <c r="D30" s="261"/>
      <c r="E30" s="261"/>
      <c r="F30" s="261"/>
      <c r="G30" s="261"/>
      <c r="H30" s="261"/>
      <c r="I30" s="261"/>
      <c r="J30" s="262"/>
    </row>
    <row r="31" spans="1:10" x14ac:dyDescent="0.15">
      <c r="A31" s="261"/>
      <c r="B31" s="261" t="s">
        <v>45</v>
      </c>
      <c r="C31" s="261"/>
      <c r="D31" s="261"/>
      <c r="E31" s="261"/>
      <c r="F31" s="261"/>
      <c r="G31" s="261"/>
      <c r="H31" s="261"/>
      <c r="I31" s="261"/>
      <c r="J31" s="262"/>
    </row>
    <row r="32" spans="1:10" x14ac:dyDescent="0.15">
      <c r="A32" s="261"/>
      <c r="B32" s="261"/>
      <c r="C32" s="261" t="s">
        <v>19</v>
      </c>
      <c r="D32" s="261"/>
      <c r="E32" s="261"/>
      <c r="F32" s="261"/>
      <c r="G32" s="261"/>
      <c r="H32" s="261"/>
      <c r="I32" s="261"/>
      <c r="J32" s="262"/>
    </row>
    <row r="33" spans="1:10" x14ac:dyDescent="0.15">
      <c r="A33" s="261"/>
      <c r="B33" s="261" t="s">
        <v>46</v>
      </c>
      <c r="C33" s="261"/>
      <c r="D33" s="261"/>
      <c r="E33" s="261"/>
      <c r="F33" s="261"/>
      <c r="G33" s="261"/>
      <c r="H33" s="261"/>
      <c r="I33" s="261"/>
      <c r="J33" s="262"/>
    </row>
    <row r="34" spans="1:10" x14ac:dyDescent="0.15">
      <c r="A34" s="261"/>
      <c r="B34" s="261"/>
      <c r="C34" s="261" t="s">
        <v>24</v>
      </c>
      <c r="D34" s="261"/>
      <c r="E34" s="261"/>
      <c r="F34" s="261"/>
      <c r="G34" s="261"/>
      <c r="H34" s="261"/>
      <c r="I34" s="261"/>
      <c r="J34" s="262"/>
    </row>
    <row r="35" spans="1:10" x14ac:dyDescent="0.15">
      <c r="A35" s="261"/>
      <c r="B35" s="261" t="s">
        <v>113</v>
      </c>
      <c r="C35" s="261"/>
      <c r="D35" s="261"/>
      <c r="E35" s="261"/>
      <c r="F35" s="261"/>
      <c r="G35" s="261"/>
      <c r="H35" s="261"/>
      <c r="I35" s="261"/>
      <c r="J35" s="262"/>
    </row>
    <row r="36" spans="1:10" x14ac:dyDescent="0.15">
      <c r="A36" s="261"/>
      <c r="B36" s="261"/>
      <c r="C36" s="261" t="s">
        <v>22</v>
      </c>
      <c r="D36" s="261"/>
      <c r="E36" s="261"/>
      <c r="F36" s="261"/>
      <c r="G36" s="261"/>
      <c r="H36" s="261"/>
      <c r="I36" s="261"/>
      <c r="J36" s="262"/>
    </row>
    <row r="37" spans="1:10" x14ac:dyDescent="0.15">
      <c r="A37" s="261"/>
      <c r="B37" s="261" t="s">
        <v>114</v>
      </c>
      <c r="C37" s="261"/>
      <c r="D37" s="261"/>
      <c r="E37" s="261"/>
      <c r="F37" s="261"/>
      <c r="G37" s="261"/>
      <c r="H37" s="261"/>
      <c r="I37" s="261"/>
      <c r="J37" s="262"/>
    </row>
    <row r="38" spans="1:10" x14ac:dyDescent="0.15">
      <c r="A38" s="261"/>
      <c r="B38" s="261"/>
      <c r="C38" s="261" t="s">
        <v>35</v>
      </c>
      <c r="D38" s="261"/>
      <c r="E38" s="261"/>
      <c r="F38" s="261"/>
      <c r="G38" s="261"/>
      <c r="H38" s="261"/>
      <c r="I38" s="261"/>
      <c r="J38" s="262"/>
    </row>
    <row r="39" spans="1:10" x14ac:dyDescent="0.15">
      <c r="A39" s="261"/>
      <c r="B39" s="261" t="s">
        <v>115</v>
      </c>
      <c r="C39" s="261"/>
      <c r="D39" s="261"/>
      <c r="E39" s="261"/>
      <c r="F39" s="261"/>
      <c r="G39" s="261"/>
      <c r="H39" s="261"/>
      <c r="I39" s="261"/>
      <c r="J39" s="262"/>
    </row>
    <row r="40" spans="1:10" x14ac:dyDescent="0.15">
      <c r="A40" s="261"/>
      <c r="B40" s="261"/>
      <c r="C40" s="261" t="s">
        <v>8</v>
      </c>
      <c r="D40" s="261"/>
      <c r="E40" s="261"/>
      <c r="F40" s="261"/>
      <c r="G40" s="261"/>
      <c r="H40" s="261"/>
      <c r="I40" s="261"/>
      <c r="J40" s="262"/>
    </row>
    <row r="41" spans="1:10" x14ac:dyDescent="0.15">
      <c r="A41" s="261"/>
      <c r="B41" s="261"/>
      <c r="C41" s="261" t="s">
        <v>5</v>
      </c>
      <c r="D41" s="261"/>
      <c r="E41" s="261"/>
      <c r="F41" s="261"/>
      <c r="G41" s="261"/>
      <c r="H41" s="261"/>
      <c r="I41" s="261"/>
      <c r="J41" s="262"/>
    </row>
    <row r="42" spans="1:10" x14ac:dyDescent="0.15">
      <c r="A42" s="261"/>
      <c r="B42" s="261" t="s">
        <v>116</v>
      </c>
      <c r="C42" s="261"/>
      <c r="D42" s="261"/>
      <c r="E42" s="261"/>
      <c r="F42" s="261"/>
      <c r="G42" s="261"/>
      <c r="H42" s="261"/>
      <c r="I42" s="261"/>
      <c r="J42" s="262"/>
    </row>
    <row r="43" spans="1:10" x14ac:dyDescent="0.15">
      <c r="A43" s="261"/>
      <c r="B43" s="261"/>
      <c r="C43" s="261" t="s">
        <v>7</v>
      </c>
      <c r="D43" s="261"/>
      <c r="E43" s="261"/>
      <c r="F43" s="261"/>
      <c r="G43" s="261"/>
      <c r="H43" s="261"/>
      <c r="I43" s="261"/>
      <c r="J43" s="262"/>
    </row>
    <row r="44" spans="1:10" x14ac:dyDescent="0.15">
      <c r="A44" s="261"/>
      <c r="B44" s="261" t="s">
        <v>117</v>
      </c>
      <c r="C44" s="261"/>
      <c r="D44" s="261"/>
      <c r="E44" s="261"/>
      <c r="F44" s="261"/>
      <c r="G44" s="261"/>
      <c r="H44" s="261"/>
      <c r="I44" s="261"/>
      <c r="J44" s="262"/>
    </row>
    <row r="45" spans="1:10" x14ac:dyDescent="0.15">
      <c r="A45" s="261"/>
      <c r="B45" s="261"/>
      <c r="C45" s="261" t="s">
        <v>10</v>
      </c>
      <c r="D45" s="261"/>
      <c r="E45" s="261"/>
      <c r="F45" s="261"/>
      <c r="G45" s="261"/>
      <c r="H45" s="261"/>
      <c r="I45" s="261"/>
      <c r="J45" s="262"/>
    </row>
    <row r="46" spans="1:10" x14ac:dyDescent="0.15">
      <c r="A46" s="261"/>
      <c r="B46" s="261" t="s">
        <v>118</v>
      </c>
      <c r="C46" s="261"/>
      <c r="D46" s="261"/>
      <c r="E46" s="261"/>
      <c r="F46" s="261"/>
      <c r="G46" s="261"/>
      <c r="H46" s="261"/>
      <c r="I46" s="261"/>
      <c r="J46" s="262"/>
    </row>
    <row r="47" spans="1:10" x14ac:dyDescent="0.15">
      <c r="A47" s="261"/>
      <c r="B47" s="261"/>
      <c r="C47" s="261" t="s">
        <v>23</v>
      </c>
      <c r="D47" s="261"/>
      <c r="E47" s="261"/>
      <c r="F47" s="261"/>
      <c r="G47" s="261"/>
      <c r="H47" s="261"/>
      <c r="I47" s="261"/>
      <c r="J47" s="262"/>
    </row>
    <row r="48" spans="1:10" x14ac:dyDescent="0.15">
      <c r="A48" s="261"/>
      <c r="B48" s="261" t="s">
        <v>119</v>
      </c>
      <c r="C48" s="261"/>
      <c r="D48" s="261"/>
      <c r="E48" s="261"/>
      <c r="F48" s="261"/>
      <c r="G48" s="261"/>
      <c r="H48" s="261"/>
      <c r="I48" s="261"/>
      <c r="J48" s="262"/>
    </row>
    <row r="49" spans="1:10" x14ac:dyDescent="0.15">
      <c r="A49" s="261"/>
      <c r="B49" s="261"/>
      <c r="C49" s="261" t="s">
        <v>6</v>
      </c>
      <c r="D49" s="261"/>
      <c r="E49" s="261"/>
      <c r="F49" s="261"/>
      <c r="G49" s="261"/>
      <c r="H49" s="261"/>
      <c r="I49" s="261"/>
      <c r="J49" s="262"/>
    </row>
    <row r="50" spans="1:10" x14ac:dyDescent="0.15">
      <c r="A50" s="261"/>
      <c r="B50" s="261" t="s">
        <v>120</v>
      </c>
      <c r="C50" s="261"/>
      <c r="D50" s="261"/>
      <c r="E50" s="261"/>
      <c r="F50" s="261"/>
      <c r="G50" s="261"/>
      <c r="H50" s="261"/>
      <c r="I50" s="261"/>
      <c r="J50" s="262"/>
    </row>
    <row r="51" spans="1:10" x14ac:dyDescent="0.15">
      <c r="A51" s="261"/>
      <c r="B51" s="261"/>
      <c r="C51" s="261" t="s">
        <v>11</v>
      </c>
      <c r="D51" s="261"/>
      <c r="E51" s="261"/>
      <c r="F51" s="261"/>
      <c r="G51" s="261"/>
      <c r="H51" s="261"/>
      <c r="I51" s="261"/>
      <c r="J51" s="262"/>
    </row>
    <row r="52" spans="1:10" x14ac:dyDescent="0.15">
      <c r="A52" s="261"/>
      <c r="B52" s="261"/>
      <c r="C52" s="261" t="s">
        <v>12</v>
      </c>
      <c r="D52" s="261"/>
      <c r="E52" s="261"/>
      <c r="F52" s="261"/>
      <c r="G52" s="261"/>
      <c r="H52" s="261"/>
      <c r="I52" s="261"/>
      <c r="J52" s="262"/>
    </row>
  </sheetData>
  <sheetProtection selectLockedCells="1" selectUnlockedCells="1"/>
  <phoneticPr fontId="53"/>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workbookViewId="0">
      <selection activeCell="E4" sqref="E4"/>
    </sheetView>
  </sheetViews>
  <sheetFormatPr defaultRowHeight="12" x14ac:dyDescent="0.15"/>
  <cols>
    <col min="1" max="256" width="13.33203125" customWidth="1"/>
  </cols>
  <sheetData>
    <row r="1" spans="1:8" x14ac:dyDescent="0.15">
      <c r="A1" s="265"/>
      <c r="B1" s="265"/>
      <c r="C1" s="265"/>
      <c r="D1" s="265"/>
      <c r="E1" s="265"/>
      <c r="F1" s="265"/>
      <c r="G1" s="265"/>
      <c r="H1" s="265"/>
    </row>
    <row r="2" spans="1:8" x14ac:dyDescent="0.15">
      <c r="A2" s="265"/>
      <c r="B2" s="265"/>
      <c r="C2" s="265"/>
      <c r="D2" s="265"/>
      <c r="E2" s="265"/>
      <c r="F2" s="265"/>
      <c r="G2" s="265"/>
      <c r="H2" s="265"/>
    </row>
    <row r="3" spans="1:8" x14ac:dyDescent="0.15">
      <c r="A3" s="265"/>
      <c r="B3" s="511" t="s">
        <v>121</v>
      </c>
      <c r="C3" s="511"/>
      <c r="D3" s="511"/>
      <c r="E3" s="266" t="s">
        <v>122</v>
      </c>
      <c r="F3" s="512" t="s">
        <v>123</v>
      </c>
      <c r="G3" s="512"/>
      <c r="H3" s="265"/>
    </row>
    <row r="4" spans="1:8" x14ac:dyDescent="0.15">
      <c r="A4" s="265"/>
      <c r="B4" s="507" t="s">
        <v>1053</v>
      </c>
      <c r="C4" s="507"/>
      <c r="D4" s="507"/>
      <c r="E4" s="267" t="s">
        <v>1054</v>
      </c>
      <c r="F4" s="508" t="s">
        <v>786</v>
      </c>
      <c r="G4" s="508"/>
      <c r="H4" s="265"/>
    </row>
    <row r="5" spans="1:8" x14ac:dyDescent="0.15">
      <c r="A5" s="265"/>
      <c r="B5" s="507"/>
      <c r="C5" s="507"/>
      <c r="D5" s="507"/>
      <c r="E5" s="267" t="s">
        <v>292</v>
      </c>
      <c r="F5" s="508" t="s">
        <v>985</v>
      </c>
      <c r="G5" s="508"/>
      <c r="H5" s="265"/>
    </row>
    <row r="6" spans="1:8" x14ac:dyDescent="0.15">
      <c r="A6" s="265"/>
      <c r="B6" s="507"/>
      <c r="C6" s="507"/>
      <c r="D6" s="507"/>
      <c r="E6" s="267" t="s">
        <v>292</v>
      </c>
      <c r="F6" s="508" t="s">
        <v>985</v>
      </c>
      <c r="G6" s="508"/>
      <c r="H6" s="265"/>
    </row>
    <row r="7" spans="1:8" x14ac:dyDescent="0.15">
      <c r="A7" s="265"/>
      <c r="B7" s="507"/>
      <c r="C7" s="507"/>
      <c r="D7" s="507"/>
      <c r="E7" s="267" t="s">
        <v>292</v>
      </c>
      <c r="F7" s="508" t="s">
        <v>985</v>
      </c>
      <c r="G7" s="508"/>
      <c r="H7" s="265"/>
    </row>
    <row r="8" spans="1:8" x14ac:dyDescent="0.15">
      <c r="A8" s="265"/>
      <c r="B8" s="507"/>
      <c r="C8" s="507"/>
      <c r="D8" s="507"/>
      <c r="E8" s="267" t="s">
        <v>292</v>
      </c>
      <c r="F8" s="508" t="s">
        <v>985</v>
      </c>
      <c r="G8" s="508"/>
      <c r="H8" s="265"/>
    </row>
    <row r="9" spans="1:8" x14ac:dyDescent="0.15">
      <c r="A9" s="265"/>
      <c r="B9" s="507"/>
      <c r="C9" s="507"/>
      <c r="D9" s="507"/>
      <c r="E9" s="267" t="s">
        <v>292</v>
      </c>
      <c r="F9" s="508" t="s">
        <v>985</v>
      </c>
      <c r="G9" s="508"/>
      <c r="H9" s="265"/>
    </row>
    <row r="10" spans="1:8" x14ac:dyDescent="0.15">
      <c r="A10" s="265"/>
      <c r="B10" s="507"/>
      <c r="C10" s="507"/>
      <c r="D10" s="507"/>
      <c r="E10" s="267" t="s">
        <v>292</v>
      </c>
      <c r="F10" s="508" t="s">
        <v>985</v>
      </c>
      <c r="G10" s="508"/>
      <c r="H10" s="265"/>
    </row>
    <row r="11" spans="1:8" x14ac:dyDescent="0.15">
      <c r="A11" s="265"/>
      <c r="B11" s="507"/>
      <c r="C11" s="507"/>
      <c r="D11" s="507"/>
      <c r="E11" s="267" t="s">
        <v>292</v>
      </c>
      <c r="F11" s="508" t="s">
        <v>985</v>
      </c>
      <c r="G11" s="508"/>
      <c r="H11" s="265"/>
    </row>
    <row r="12" spans="1:8" x14ac:dyDescent="0.15">
      <c r="A12" s="265"/>
      <c r="B12" s="507"/>
      <c r="C12" s="507"/>
      <c r="D12" s="507"/>
      <c r="E12" s="267" t="s">
        <v>292</v>
      </c>
      <c r="F12" s="508" t="s">
        <v>985</v>
      </c>
      <c r="G12" s="508"/>
      <c r="H12" s="265"/>
    </row>
    <row r="13" spans="1:8" x14ac:dyDescent="0.15">
      <c r="A13" s="265"/>
      <c r="B13" s="509"/>
      <c r="C13" s="509"/>
      <c r="D13" s="509"/>
      <c r="E13" s="268" t="s">
        <v>292</v>
      </c>
      <c r="F13" s="510" t="s">
        <v>985</v>
      </c>
      <c r="G13" s="510"/>
      <c r="H13" s="265"/>
    </row>
    <row r="14" spans="1:8" x14ac:dyDescent="0.15">
      <c r="A14" s="265"/>
      <c r="B14" s="265"/>
      <c r="C14" s="265"/>
      <c r="D14" s="265"/>
      <c r="E14" s="265"/>
      <c r="F14" s="265"/>
      <c r="G14" s="265"/>
      <c r="H14" s="265"/>
    </row>
    <row r="15" spans="1:8" x14ac:dyDescent="0.15">
      <c r="A15" s="265"/>
      <c r="B15" s="265"/>
      <c r="C15" s="265"/>
      <c r="D15" s="265"/>
      <c r="E15" s="265"/>
      <c r="F15" s="265"/>
      <c r="G15" s="265"/>
      <c r="H15" s="265"/>
    </row>
  </sheetData>
  <sheetProtection selectLockedCells="1" selectUnlockedCells="1"/>
  <mergeCells count="22">
    <mergeCell ref="B3:D3"/>
    <mergeCell ref="F3:G3"/>
    <mergeCell ref="B4:D4"/>
    <mergeCell ref="F4:G4"/>
    <mergeCell ref="B5:D5"/>
    <mergeCell ref="F5:G5"/>
    <mergeCell ref="B6:D6"/>
    <mergeCell ref="F6:G6"/>
    <mergeCell ref="B7:D7"/>
    <mergeCell ref="F7:G7"/>
    <mergeCell ref="B8:D8"/>
    <mergeCell ref="F8:G8"/>
    <mergeCell ref="B12:D12"/>
    <mergeCell ref="F12:G12"/>
    <mergeCell ref="B13:D13"/>
    <mergeCell ref="F13:G13"/>
    <mergeCell ref="B9:D9"/>
    <mergeCell ref="F9:G9"/>
    <mergeCell ref="B10:D10"/>
    <mergeCell ref="F10:G10"/>
    <mergeCell ref="B11:D11"/>
    <mergeCell ref="F11:G11"/>
  </mergeCells>
  <phoneticPr fontId="53"/>
  <dataValidations count="1">
    <dataValidation type="list" operator="equal" sqref="E4:E13" xr:uid="{00000000-0002-0000-0600-000000000000}">
      <formula1>"-,賞なし,探索賞,RP賞,バトル賞,MVP"</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600-000001000000}">
          <x14:formula1>
            <xm:f>リスト!$AR$2:$AR$58</xm:f>
          </x14:formula1>
          <x14:formula2>
            <xm:f>0</xm:f>
          </x14:formula2>
          <xm:sqref>F4:G13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リスト</vt:lpstr>
      <vt:lpstr>キャラシート</vt:lpstr>
      <vt:lpstr>応用技</vt:lpstr>
      <vt:lpstr>クリーチャー</vt:lpstr>
      <vt:lpstr>進行表</vt:lpstr>
      <vt:lpstr>質疑応答</vt:lpstr>
      <vt:lpstr>軌跡</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チヒロ</cp:lastModifiedBy>
  <dcterms:created xsi:type="dcterms:W3CDTF">2018-09-23T14:33:37Z</dcterms:created>
  <dcterms:modified xsi:type="dcterms:W3CDTF">2019-05-27T11:27:32Z</dcterms:modified>
</cp:coreProperties>
</file>